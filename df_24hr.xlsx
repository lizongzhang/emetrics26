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zz/github_teaching/emetrics26/"/>
    </mc:Choice>
  </mc:AlternateContent>
  <xr:revisionPtr revIDLastSave="0" documentId="8_{F8047765-7A72-014C-9850-BF3186457E9B}" xr6:coauthVersionLast="47" xr6:coauthVersionMax="47" xr10:uidLastSave="{00000000-0000-0000-0000-000000000000}"/>
  <bookViews>
    <workbookView xWindow="0" yWindow="0" windowWidth="28800" windowHeight="18000" xr2:uid="{ED955773-F41D-9442-9D65-6C4E43FE616A}"/>
  </bookViews>
  <sheets>
    <sheet name="d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71" i="1" l="1"/>
  <c r="Q71" i="1" s="1"/>
  <c r="N71" i="1"/>
  <c r="M71" i="1"/>
  <c r="P71" i="1" s="1"/>
  <c r="L71" i="1"/>
  <c r="O70" i="1"/>
  <c r="Q70" i="1" s="1"/>
  <c r="N70" i="1"/>
  <c r="M70" i="1"/>
  <c r="L70" i="1"/>
  <c r="P70" i="1" s="1"/>
  <c r="O69" i="1"/>
  <c r="Q69" i="1" s="1"/>
  <c r="N69" i="1"/>
  <c r="M69" i="1"/>
  <c r="P69" i="1" s="1"/>
  <c r="L69" i="1"/>
  <c r="O68" i="1"/>
  <c r="Q68" i="1" s="1"/>
  <c r="N68" i="1"/>
  <c r="M68" i="1"/>
  <c r="P68" i="1" s="1"/>
  <c r="L68" i="1"/>
  <c r="Q67" i="1"/>
  <c r="P67" i="1"/>
  <c r="O67" i="1"/>
  <c r="N67" i="1"/>
  <c r="M67" i="1"/>
  <c r="L67" i="1"/>
  <c r="P66" i="1"/>
  <c r="O66" i="1"/>
  <c r="Q66" i="1" s="1"/>
  <c r="N66" i="1"/>
  <c r="M66" i="1"/>
  <c r="L66" i="1"/>
  <c r="O65" i="1"/>
  <c r="Q65" i="1" s="1"/>
  <c r="N65" i="1"/>
  <c r="M65" i="1"/>
  <c r="P65" i="1" s="1"/>
  <c r="L65" i="1"/>
  <c r="O64" i="1"/>
  <c r="Q64" i="1" s="1"/>
  <c r="N64" i="1"/>
  <c r="M64" i="1"/>
  <c r="P64" i="1" s="1"/>
  <c r="L64" i="1"/>
  <c r="Q63" i="1"/>
  <c r="P63" i="1"/>
  <c r="O63" i="1"/>
  <c r="N63" i="1"/>
  <c r="M63" i="1"/>
  <c r="L63" i="1"/>
  <c r="P62" i="1"/>
  <c r="O62" i="1"/>
  <c r="Q62" i="1" s="1"/>
  <c r="N62" i="1"/>
  <c r="M62" i="1"/>
  <c r="L62" i="1"/>
  <c r="O61" i="1"/>
  <c r="Q61" i="1" s="1"/>
  <c r="N61" i="1"/>
  <c r="M61" i="1"/>
  <c r="P61" i="1" s="1"/>
  <c r="L61" i="1"/>
  <c r="O60" i="1"/>
  <c r="Q60" i="1" s="1"/>
  <c r="N60" i="1"/>
  <c r="M60" i="1"/>
  <c r="P60" i="1" s="1"/>
  <c r="L60" i="1"/>
  <c r="Q59" i="1"/>
  <c r="P59" i="1"/>
  <c r="O59" i="1"/>
  <c r="N59" i="1"/>
  <c r="M59" i="1"/>
  <c r="L59" i="1"/>
  <c r="P58" i="1"/>
  <c r="O58" i="1"/>
  <c r="Q58" i="1" s="1"/>
  <c r="N58" i="1"/>
  <c r="M58" i="1"/>
  <c r="L58" i="1"/>
  <c r="O57" i="1"/>
  <c r="Q57" i="1" s="1"/>
  <c r="N57" i="1"/>
  <c r="M57" i="1"/>
  <c r="P57" i="1" s="1"/>
  <c r="L57" i="1"/>
  <c r="O56" i="1"/>
  <c r="Q56" i="1" s="1"/>
  <c r="N56" i="1"/>
  <c r="M56" i="1"/>
  <c r="P56" i="1" s="1"/>
  <c r="L56" i="1"/>
  <c r="Q55" i="1"/>
  <c r="P55" i="1"/>
  <c r="O55" i="1"/>
  <c r="N55" i="1"/>
  <c r="M55" i="1"/>
  <c r="L55" i="1"/>
  <c r="P54" i="1"/>
  <c r="O54" i="1"/>
  <c r="Q54" i="1" s="1"/>
  <c r="N54" i="1"/>
  <c r="M54" i="1"/>
  <c r="L54" i="1"/>
  <c r="O53" i="1"/>
  <c r="Q53" i="1" s="1"/>
  <c r="N53" i="1"/>
  <c r="M53" i="1"/>
  <c r="P53" i="1" s="1"/>
  <c r="L53" i="1"/>
  <c r="O52" i="1"/>
  <c r="Q52" i="1" s="1"/>
  <c r="N52" i="1"/>
  <c r="M52" i="1"/>
  <c r="P52" i="1" s="1"/>
  <c r="L52" i="1"/>
  <c r="Q51" i="1"/>
  <c r="P51" i="1"/>
  <c r="O51" i="1"/>
  <c r="N51" i="1"/>
  <c r="M51" i="1"/>
  <c r="L51" i="1"/>
  <c r="P50" i="1"/>
  <c r="O50" i="1"/>
  <c r="Q50" i="1" s="1"/>
  <c r="N50" i="1"/>
  <c r="M50" i="1"/>
  <c r="L50" i="1"/>
  <c r="O49" i="1"/>
  <c r="Q49" i="1" s="1"/>
  <c r="N49" i="1"/>
  <c r="M49" i="1"/>
  <c r="P49" i="1" s="1"/>
  <c r="L49" i="1"/>
  <c r="O48" i="1"/>
  <c r="Q48" i="1" s="1"/>
  <c r="N48" i="1"/>
  <c r="M48" i="1"/>
  <c r="P48" i="1" s="1"/>
  <c r="L48" i="1"/>
  <c r="Q47" i="1"/>
  <c r="P47" i="1"/>
  <c r="O47" i="1"/>
  <c r="N47" i="1"/>
  <c r="M47" i="1"/>
  <c r="L47" i="1"/>
  <c r="P46" i="1"/>
  <c r="O46" i="1"/>
  <c r="Q46" i="1" s="1"/>
  <c r="N46" i="1"/>
  <c r="M46" i="1"/>
  <c r="L46" i="1"/>
  <c r="O45" i="1"/>
  <c r="Q45" i="1" s="1"/>
  <c r="N45" i="1"/>
  <c r="M45" i="1"/>
  <c r="P45" i="1" s="1"/>
  <c r="L45" i="1"/>
  <c r="O44" i="1"/>
  <c r="Q44" i="1" s="1"/>
  <c r="N44" i="1"/>
  <c r="M44" i="1"/>
  <c r="P44" i="1" s="1"/>
  <c r="L44" i="1"/>
  <c r="Q43" i="1"/>
  <c r="P43" i="1"/>
  <c r="O43" i="1"/>
  <c r="N43" i="1"/>
  <c r="M43" i="1"/>
  <c r="L43" i="1"/>
  <c r="P42" i="1"/>
  <c r="O42" i="1"/>
  <c r="Q42" i="1" s="1"/>
  <c r="N42" i="1"/>
  <c r="M42" i="1"/>
  <c r="L42" i="1"/>
  <c r="O41" i="1"/>
  <c r="Q41" i="1" s="1"/>
  <c r="N41" i="1"/>
  <c r="M41" i="1"/>
  <c r="P41" i="1" s="1"/>
  <c r="L41" i="1"/>
  <c r="O40" i="1"/>
  <c r="Q40" i="1" s="1"/>
  <c r="N40" i="1"/>
  <c r="M40" i="1"/>
  <c r="P40" i="1" s="1"/>
  <c r="L40" i="1"/>
  <c r="Q39" i="1"/>
  <c r="P39" i="1"/>
  <c r="O39" i="1"/>
  <c r="N39" i="1"/>
  <c r="M39" i="1"/>
  <c r="L39" i="1"/>
  <c r="P38" i="1"/>
  <c r="O38" i="1"/>
  <c r="Q38" i="1" s="1"/>
  <c r="N38" i="1"/>
  <c r="M38" i="1"/>
  <c r="L38" i="1"/>
  <c r="O37" i="1"/>
  <c r="Q37" i="1" s="1"/>
  <c r="N37" i="1"/>
  <c r="M37" i="1"/>
  <c r="P37" i="1" s="1"/>
  <c r="L37" i="1"/>
  <c r="O36" i="1"/>
  <c r="Q36" i="1" s="1"/>
  <c r="N36" i="1"/>
  <c r="M36" i="1"/>
  <c r="P36" i="1" s="1"/>
  <c r="L36" i="1"/>
  <c r="Q35" i="1"/>
  <c r="P35" i="1"/>
  <c r="O35" i="1"/>
  <c r="N35" i="1"/>
  <c r="M35" i="1"/>
  <c r="L35" i="1"/>
  <c r="P34" i="1"/>
  <c r="O34" i="1"/>
  <c r="Q34" i="1" s="1"/>
  <c r="N34" i="1"/>
  <c r="M34" i="1"/>
  <c r="L34" i="1"/>
  <c r="O33" i="1"/>
  <c r="Q33" i="1" s="1"/>
  <c r="N33" i="1"/>
  <c r="M33" i="1"/>
  <c r="P33" i="1" s="1"/>
  <c r="L33" i="1"/>
  <c r="O32" i="1"/>
  <c r="Q32" i="1" s="1"/>
  <c r="N32" i="1"/>
  <c r="M32" i="1"/>
  <c r="P32" i="1" s="1"/>
  <c r="L32" i="1"/>
  <c r="Q31" i="1"/>
  <c r="P31" i="1"/>
  <c r="O31" i="1"/>
  <c r="N31" i="1"/>
  <c r="M31" i="1"/>
  <c r="L31" i="1"/>
  <c r="P30" i="1"/>
  <c r="O30" i="1"/>
  <c r="Q30" i="1" s="1"/>
  <c r="N30" i="1"/>
  <c r="M30" i="1"/>
  <c r="L30" i="1"/>
  <c r="O29" i="1"/>
  <c r="Q29" i="1" s="1"/>
  <c r="N29" i="1"/>
  <c r="M29" i="1"/>
  <c r="P29" i="1" s="1"/>
  <c r="L29" i="1"/>
  <c r="O28" i="1"/>
  <c r="Q28" i="1" s="1"/>
  <c r="N28" i="1"/>
  <c r="M28" i="1"/>
  <c r="P28" i="1" s="1"/>
  <c r="L28" i="1"/>
  <c r="Q27" i="1"/>
  <c r="P27" i="1"/>
  <c r="O27" i="1"/>
  <c r="N27" i="1"/>
  <c r="M27" i="1"/>
  <c r="L27" i="1"/>
  <c r="P26" i="1"/>
  <c r="O26" i="1"/>
  <c r="Q26" i="1" s="1"/>
  <c r="N26" i="1"/>
  <c r="M26" i="1"/>
  <c r="L26" i="1"/>
  <c r="O25" i="1"/>
  <c r="Q25" i="1" s="1"/>
  <c r="N25" i="1"/>
  <c r="M25" i="1"/>
  <c r="P25" i="1" s="1"/>
  <c r="L25" i="1"/>
  <c r="O24" i="1"/>
  <c r="Q24" i="1" s="1"/>
  <c r="N24" i="1"/>
  <c r="M24" i="1"/>
  <c r="P24" i="1" s="1"/>
  <c r="L24" i="1"/>
  <c r="Q23" i="1"/>
  <c r="P23" i="1"/>
  <c r="O23" i="1"/>
  <c r="N23" i="1"/>
  <c r="M23" i="1"/>
  <c r="L23" i="1"/>
  <c r="P22" i="1"/>
  <c r="O22" i="1"/>
  <c r="Q22" i="1" s="1"/>
  <c r="N22" i="1"/>
  <c r="M22" i="1"/>
  <c r="L22" i="1"/>
  <c r="O21" i="1"/>
  <c r="Q21" i="1" s="1"/>
  <c r="N21" i="1"/>
  <c r="M21" i="1"/>
  <c r="P21" i="1" s="1"/>
  <c r="L21" i="1"/>
  <c r="O20" i="1"/>
  <c r="Q20" i="1" s="1"/>
  <c r="N20" i="1"/>
  <c r="M20" i="1"/>
  <c r="P20" i="1" s="1"/>
  <c r="L20" i="1"/>
  <c r="Q19" i="1"/>
  <c r="P19" i="1"/>
  <c r="O19" i="1"/>
  <c r="N19" i="1"/>
  <c r="M19" i="1"/>
  <c r="L19" i="1"/>
  <c r="P18" i="1"/>
  <c r="O18" i="1"/>
  <c r="Q18" i="1" s="1"/>
  <c r="N18" i="1"/>
  <c r="M18" i="1"/>
  <c r="L18" i="1"/>
  <c r="O17" i="1"/>
  <c r="Q17" i="1" s="1"/>
  <c r="N17" i="1"/>
  <c r="M17" i="1"/>
  <c r="P17" i="1" s="1"/>
  <c r="L17" i="1"/>
  <c r="O16" i="1"/>
  <c r="Q16" i="1" s="1"/>
  <c r="N16" i="1"/>
  <c r="M16" i="1"/>
  <c r="P16" i="1" s="1"/>
  <c r="L16" i="1"/>
  <c r="Q15" i="1"/>
  <c r="P15" i="1"/>
  <c r="O15" i="1"/>
  <c r="N15" i="1"/>
  <c r="M15" i="1"/>
  <c r="L15" i="1"/>
  <c r="P14" i="1"/>
  <c r="O14" i="1"/>
  <c r="Q14" i="1" s="1"/>
  <c r="N14" i="1"/>
  <c r="M14" i="1"/>
  <c r="L14" i="1"/>
  <c r="O13" i="1"/>
  <c r="Q13" i="1" s="1"/>
  <c r="N13" i="1"/>
  <c r="M13" i="1"/>
  <c r="P13" i="1" s="1"/>
  <c r="L13" i="1"/>
  <c r="O12" i="1"/>
  <c r="Q12" i="1" s="1"/>
  <c r="N12" i="1"/>
  <c r="M12" i="1"/>
  <c r="P12" i="1" s="1"/>
  <c r="L12" i="1"/>
  <c r="Q11" i="1"/>
  <c r="P11" i="1"/>
  <c r="O11" i="1"/>
  <c r="N11" i="1"/>
  <c r="M11" i="1"/>
  <c r="L11" i="1"/>
  <c r="P10" i="1"/>
  <c r="O10" i="1"/>
  <c r="Q10" i="1" s="1"/>
  <c r="N10" i="1"/>
  <c r="M10" i="1"/>
  <c r="L10" i="1"/>
  <c r="O9" i="1"/>
  <c r="Q9" i="1" s="1"/>
  <c r="N9" i="1"/>
  <c r="M9" i="1"/>
  <c r="P9" i="1" s="1"/>
  <c r="L9" i="1"/>
  <c r="O8" i="1"/>
  <c r="Q8" i="1" s="1"/>
  <c r="N8" i="1"/>
  <c r="M8" i="1"/>
  <c r="P8" i="1" s="1"/>
  <c r="L8" i="1"/>
  <c r="Q7" i="1"/>
  <c r="P7" i="1"/>
  <c r="O7" i="1"/>
  <c r="N7" i="1"/>
  <c r="M7" i="1"/>
  <c r="L7" i="1"/>
  <c r="P6" i="1"/>
  <c r="O6" i="1"/>
  <c r="Q6" i="1" s="1"/>
  <c r="N6" i="1"/>
  <c r="M6" i="1"/>
  <c r="L6" i="1"/>
  <c r="O5" i="1"/>
  <c r="Q5" i="1" s="1"/>
  <c r="N5" i="1"/>
  <c r="M5" i="1"/>
  <c r="P5" i="1" s="1"/>
  <c r="L5" i="1"/>
  <c r="O4" i="1"/>
  <c r="Q4" i="1" s="1"/>
  <c r="N4" i="1"/>
  <c r="M4" i="1"/>
  <c r="P4" i="1" s="1"/>
  <c r="L4" i="1"/>
  <c r="Q3" i="1"/>
  <c r="P3" i="1"/>
  <c r="O3" i="1"/>
  <c r="N3" i="1"/>
  <c r="M3" i="1"/>
  <c r="L3" i="1"/>
  <c r="P2" i="1"/>
  <c r="O2" i="1"/>
  <c r="Q2" i="1" s="1"/>
  <c r="N2" i="1"/>
  <c r="M2" i="1"/>
  <c r="L2" i="1"/>
</calcChain>
</file>

<file path=xl/sharedStrings.xml><?xml version="1.0" encoding="utf-8"?>
<sst xmlns="http://schemas.openxmlformats.org/spreadsheetml/2006/main" count="227" uniqueCount="159">
  <si>
    <t>姓名</t>
  </si>
  <si>
    <t>学号</t>
  </si>
  <si>
    <t>所属行政班</t>
  </si>
  <si>
    <t>理论课班级开课数</t>
    <phoneticPr fontId="2" type="noConversion"/>
  </si>
  <si>
    <t>理论课学生签到次数</t>
    <phoneticPr fontId="2" type="noConversion"/>
  </si>
  <si>
    <t>理论课发布考试数</t>
    <phoneticPr fontId="2" type="noConversion"/>
  </si>
  <si>
    <t>理论课学生交卷个数</t>
    <phoneticPr fontId="2" type="noConversion"/>
  </si>
  <si>
    <t>实验课班级开课数</t>
    <phoneticPr fontId="2" type="noConversion"/>
  </si>
  <si>
    <t>实验课学生签到次数</t>
    <phoneticPr fontId="2" type="noConversion"/>
  </si>
  <si>
    <t>实验课发布考试数</t>
    <phoneticPr fontId="2" type="noConversion"/>
  </si>
  <si>
    <t>实验课学生交卷个数</t>
    <phoneticPr fontId="2" type="noConversion"/>
  </si>
  <si>
    <t>开课次数</t>
    <phoneticPr fontId="2" type="noConversion"/>
  </si>
  <si>
    <t>签到次数</t>
    <phoneticPr fontId="2" type="noConversion"/>
  </si>
  <si>
    <t>作业和测验项数</t>
    <phoneticPr fontId="2" type="noConversion"/>
  </si>
  <si>
    <t>作业和测验提交项数</t>
    <phoneticPr fontId="2" type="noConversion"/>
  </si>
  <si>
    <t>签到率</t>
    <phoneticPr fontId="2" type="noConversion"/>
  </si>
  <si>
    <t>作业提交率</t>
    <phoneticPr fontId="2" type="noConversion"/>
  </si>
  <si>
    <t>刘一鸣</t>
  </si>
  <si>
    <t>202318710313</t>
  </si>
  <si>
    <t>24人力资源1</t>
  </si>
  <si>
    <t>何淑娴</t>
  </si>
  <si>
    <t>202323710208</t>
  </si>
  <si>
    <t>柴芳苑</t>
  </si>
  <si>
    <t>202423710101</t>
  </si>
  <si>
    <t>陈佳琪</t>
  </si>
  <si>
    <t>202423710102</t>
  </si>
  <si>
    <t>陈汪洋</t>
  </si>
  <si>
    <t>202423710103</t>
  </si>
  <si>
    <t>池天俊</t>
  </si>
  <si>
    <t>202423710104</t>
  </si>
  <si>
    <t>邓雅雯</t>
  </si>
  <si>
    <t>202423710105</t>
  </si>
  <si>
    <t>丁瑞</t>
  </si>
  <si>
    <t>202423710106</t>
  </si>
  <si>
    <t>樊欣然</t>
  </si>
  <si>
    <t>202423710107</t>
  </si>
  <si>
    <t>高子杨</t>
  </si>
  <si>
    <t>202423710108</t>
  </si>
  <si>
    <t>侯运涛</t>
  </si>
  <si>
    <t>202423710109</t>
  </si>
  <si>
    <t>黄祖豪</t>
  </si>
  <si>
    <t>202423710111</t>
  </si>
  <si>
    <t>赖俊中</t>
  </si>
  <si>
    <t>202423710112</t>
  </si>
  <si>
    <t>李洁婷</t>
  </si>
  <si>
    <t>202423710113</t>
  </si>
  <si>
    <t>黎静斐</t>
  </si>
  <si>
    <t>202423710114</t>
  </si>
  <si>
    <t>李茹姿</t>
  </si>
  <si>
    <t>202423710115</t>
  </si>
  <si>
    <t>刘婕妤</t>
  </si>
  <si>
    <t>202423710116</t>
  </si>
  <si>
    <t>刘静怡</t>
  </si>
  <si>
    <t>202423710117</t>
  </si>
  <si>
    <t>刘禹希</t>
  </si>
  <si>
    <t>202423710118</t>
  </si>
  <si>
    <t>龙祖娜</t>
  </si>
  <si>
    <t>202423710119</t>
  </si>
  <si>
    <t>彭浈元</t>
  </si>
  <si>
    <t>202423710120</t>
  </si>
  <si>
    <t>陶丽宇</t>
  </si>
  <si>
    <t>202423710121</t>
  </si>
  <si>
    <t>王语琴</t>
  </si>
  <si>
    <t>202423710122</t>
  </si>
  <si>
    <t>吴华灿</t>
  </si>
  <si>
    <t>202423710123</t>
  </si>
  <si>
    <t>巫佳海</t>
  </si>
  <si>
    <t>202423710124</t>
  </si>
  <si>
    <t>吴之梓</t>
  </si>
  <si>
    <t>202423710125</t>
  </si>
  <si>
    <t>肖俊韬</t>
  </si>
  <si>
    <t>202423710126</t>
  </si>
  <si>
    <t>严绮洹</t>
  </si>
  <si>
    <t>202423710127</t>
  </si>
  <si>
    <t>杨希希</t>
  </si>
  <si>
    <t>202423710128</t>
  </si>
  <si>
    <t>杨雅淇</t>
  </si>
  <si>
    <t>202423710129</t>
  </si>
  <si>
    <t>曾清滢</t>
  </si>
  <si>
    <t>202423710130</t>
  </si>
  <si>
    <t>张俊鹏</t>
  </si>
  <si>
    <t>202423710131</t>
  </si>
  <si>
    <t>张羽琦</t>
  </si>
  <si>
    <t>202423710132</t>
  </si>
  <si>
    <t>赵敏愉</t>
  </si>
  <si>
    <t>202423710133</t>
  </si>
  <si>
    <t>朱妍</t>
  </si>
  <si>
    <t>202423710136</t>
  </si>
  <si>
    <t>庄依琳</t>
  </si>
  <si>
    <t>202423710137</t>
  </si>
  <si>
    <t>蔡涵涵</t>
  </si>
  <si>
    <t>202423710201</t>
  </si>
  <si>
    <t>24人力资源2</t>
  </si>
  <si>
    <t>陈铿宇</t>
  </si>
  <si>
    <t>202423710202</t>
  </si>
  <si>
    <t>陈可雯</t>
  </si>
  <si>
    <t>202423710203</t>
  </si>
  <si>
    <t>陈奕瑈</t>
  </si>
  <si>
    <t>202423710204</t>
  </si>
  <si>
    <t>龚国豪</t>
  </si>
  <si>
    <t>202423710206</t>
  </si>
  <si>
    <t>何婕</t>
  </si>
  <si>
    <t>202423710207</t>
  </si>
  <si>
    <t>胡佳怡</t>
  </si>
  <si>
    <t>202423710208</t>
  </si>
  <si>
    <t>黄一凡</t>
  </si>
  <si>
    <t>202423710209</t>
  </si>
  <si>
    <t>黄已昆</t>
  </si>
  <si>
    <t>202423710210</t>
  </si>
  <si>
    <t>蓝璞</t>
  </si>
  <si>
    <t>202423710211</t>
  </si>
  <si>
    <t>李文韬</t>
  </si>
  <si>
    <t>202423710212</t>
  </si>
  <si>
    <t>李芷茵</t>
  </si>
  <si>
    <t>202423710213</t>
  </si>
  <si>
    <t>梁幸钰</t>
  </si>
  <si>
    <t>202423710214</t>
  </si>
  <si>
    <t>林宇彤</t>
  </si>
  <si>
    <t>202423710215</t>
  </si>
  <si>
    <t>刘慧筠</t>
  </si>
  <si>
    <t>202423710216</t>
  </si>
  <si>
    <t>刘嘉城</t>
  </si>
  <si>
    <t>202423710217</t>
  </si>
  <si>
    <t>刘秋钰</t>
  </si>
  <si>
    <t>202423710218</t>
  </si>
  <si>
    <t>刘思未</t>
  </si>
  <si>
    <t>202423710219</t>
  </si>
  <si>
    <t>刘耀文</t>
  </si>
  <si>
    <t>202423710220</t>
  </si>
  <si>
    <t>欧楚妍</t>
  </si>
  <si>
    <t>202423710221</t>
  </si>
  <si>
    <t>潘思敏</t>
  </si>
  <si>
    <t>202423710222</t>
  </si>
  <si>
    <t>彭红营</t>
  </si>
  <si>
    <t>202423710223</t>
  </si>
  <si>
    <t>王海璇</t>
  </si>
  <si>
    <t>202423710226</t>
  </si>
  <si>
    <t>王雨欣</t>
  </si>
  <si>
    <t>202423710227</t>
  </si>
  <si>
    <t>温诗敏</t>
  </si>
  <si>
    <t>202423710228</t>
  </si>
  <si>
    <t>吴振威</t>
  </si>
  <si>
    <t>202423710229</t>
  </si>
  <si>
    <t>徐里轩</t>
  </si>
  <si>
    <t>202423710230</t>
  </si>
  <si>
    <t>许逸帆</t>
  </si>
  <si>
    <t>202423710231</t>
  </si>
  <si>
    <t>杨芷琳</t>
  </si>
  <si>
    <t>202423710232</t>
  </si>
  <si>
    <t>曾欣</t>
  </si>
  <si>
    <t>202423710233</t>
  </si>
  <si>
    <t>张家宾</t>
  </si>
  <si>
    <t>202423710234</t>
  </si>
  <si>
    <t>郑芷晴</t>
  </si>
  <si>
    <t>202423710235</t>
  </si>
  <si>
    <t>朱庆浩</t>
  </si>
  <si>
    <t>202423710236</t>
  </si>
  <si>
    <t>刘佳</t>
  </si>
  <si>
    <t>202426310117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</si>
</sst>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6"/>
      <color theme="1"/>
      <name val="TimesNewRomanPSMT"/>
      <family val="2"/>
      <charset val="134"/>
    </font>
    <font>
      <sz val="16"/>
      <color theme="1"/>
      <name val="TimesNewRomanPSMT"/>
      <family val="2"/>
      <charset val="134"/>
    </font>
    <font>
      <sz val="9"/>
      <name val="TimesNewRomanPSM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9" fontId="0" fillId="0" borderId="0" xfId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8ECE-B9A3-6147-BAE0-A731B47035CC}">
  <dimension ref="A1:Q71"/>
  <sheetViews>
    <sheetView tabSelected="1" workbookViewId="0">
      <selection activeCell="B7" sqref="B7"/>
    </sheetView>
  </sheetViews>
  <sheetFormatPr baseColWidth="10" defaultRowHeight="20"/>
  <cols>
    <col min="2" max="2" width="17.125" customWidth="1"/>
    <col min="3" max="3" width="15" customWidth="1"/>
    <col min="4" max="4" width="18" bestFit="1" customWidth="1"/>
    <col min="5" max="5" width="20.125" bestFit="1" customWidth="1"/>
    <col min="6" max="6" width="18" bestFit="1" customWidth="1"/>
    <col min="7" max="7" width="20.125" bestFit="1" customWidth="1"/>
    <col min="8" max="8" width="18" bestFit="1" customWidth="1"/>
    <col min="9" max="9" width="20.125" bestFit="1" customWidth="1"/>
    <col min="10" max="10" width="18" bestFit="1" customWidth="1"/>
    <col min="11" max="11" width="20.125" bestFit="1" customWidth="1"/>
    <col min="12" max="12" width="15.625" style="1" customWidth="1"/>
    <col min="13" max="13" width="10.625" style="1"/>
    <col min="14" max="14" width="18.25" customWidth="1"/>
    <col min="15" max="15" width="23.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>
        <v>10</v>
      </c>
      <c r="E2">
        <v>9</v>
      </c>
      <c r="F2">
        <v>12</v>
      </c>
      <c r="G2">
        <v>12</v>
      </c>
      <c r="H2">
        <v>8</v>
      </c>
      <c r="I2">
        <v>8</v>
      </c>
      <c r="J2">
        <v>14</v>
      </c>
      <c r="K2">
        <v>13</v>
      </c>
      <c r="L2" s="1">
        <f>D2+H2</f>
        <v>18</v>
      </c>
      <c r="M2" s="1">
        <f>E2+I2</f>
        <v>17</v>
      </c>
      <c r="N2">
        <f>F2+J2</f>
        <v>26</v>
      </c>
      <c r="O2">
        <f>G2+K2</f>
        <v>25</v>
      </c>
      <c r="P2" s="2">
        <f>M2/L2</f>
        <v>0.94444444444444442</v>
      </c>
      <c r="Q2" s="2">
        <f>O2/N2</f>
        <v>0.96153846153846156</v>
      </c>
    </row>
    <row r="3" spans="1:17">
      <c r="A3" t="s">
        <v>20</v>
      </c>
      <c r="B3" t="s">
        <v>21</v>
      </c>
      <c r="C3" t="s">
        <v>19</v>
      </c>
      <c r="D3">
        <v>10</v>
      </c>
      <c r="E3">
        <v>3</v>
      </c>
      <c r="F3">
        <v>12</v>
      </c>
      <c r="G3">
        <v>1</v>
      </c>
      <c r="H3">
        <v>8</v>
      </c>
      <c r="I3">
        <v>1</v>
      </c>
      <c r="J3">
        <v>14</v>
      </c>
      <c r="K3">
        <v>2</v>
      </c>
      <c r="L3" s="1">
        <f t="shared" ref="L3:O66" si="0">D3+H3</f>
        <v>18</v>
      </c>
      <c r="M3" s="1">
        <f t="shared" si="0"/>
        <v>4</v>
      </c>
      <c r="N3">
        <f t="shared" si="0"/>
        <v>26</v>
      </c>
      <c r="O3">
        <f t="shared" si="0"/>
        <v>3</v>
      </c>
      <c r="P3" s="2">
        <f t="shared" ref="P3:P66" si="1">M3/L3</f>
        <v>0.22222222222222221</v>
      </c>
      <c r="Q3" s="2">
        <f t="shared" ref="Q3:Q66" si="2">O3/N3</f>
        <v>0.11538461538461539</v>
      </c>
    </row>
    <row r="4" spans="1:17">
      <c r="A4" t="s">
        <v>22</v>
      </c>
      <c r="B4" t="s">
        <v>23</v>
      </c>
      <c r="C4" t="s">
        <v>19</v>
      </c>
      <c r="D4">
        <v>10</v>
      </c>
      <c r="E4">
        <v>10</v>
      </c>
      <c r="F4">
        <v>12</v>
      </c>
      <c r="G4">
        <v>11</v>
      </c>
      <c r="H4">
        <v>8</v>
      </c>
      <c r="I4">
        <v>8</v>
      </c>
      <c r="J4">
        <v>14</v>
      </c>
      <c r="K4">
        <v>14</v>
      </c>
      <c r="L4" s="1">
        <f t="shared" si="0"/>
        <v>18</v>
      </c>
      <c r="M4" s="1">
        <f t="shared" si="0"/>
        <v>18</v>
      </c>
      <c r="N4">
        <f t="shared" si="0"/>
        <v>26</v>
      </c>
      <c r="O4">
        <f t="shared" si="0"/>
        <v>25</v>
      </c>
      <c r="P4" s="2">
        <f t="shared" si="1"/>
        <v>1</v>
      </c>
      <c r="Q4" s="2">
        <f t="shared" si="2"/>
        <v>0.96153846153846156</v>
      </c>
    </row>
    <row r="5" spans="1:17">
      <c r="A5" t="s">
        <v>24</v>
      </c>
      <c r="B5" t="s">
        <v>25</v>
      </c>
      <c r="C5" t="s">
        <v>19</v>
      </c>
      <c r="D5">
        <v>10</v>
      </c>
      <c r="E5">
        <v>9</v>
      </c>
      <c r="F5">
        <v>12</v>
      </c>
      <c r="G5">
        <v>12</v>
      </c>
      <c r="H5">
        <v>8</v>
      </c>
      <c r="I5">
        <v>7</v>
      </c>
      <c r="J5">
        <v>14</v>
      </c>
      <c r="K5">
        <v>14</v>
      </c>
      <c r="L5" s="1">
        <f t="shared" si="0"/>
        <v>18</v>
      </c>
      <c r="M5" s="1">
        <f t="shared" si="0"/>
        <v>16</v>
      </c>
      <c r="N5">
        <f t="shared" si="0"/>
        <v>26</v>
      </c>
      <c r="O5">
        <f t="shared" si="0"/>
        <v>26</v>
      </c>
      <c r="P5" s="2">
        <f t="shared" si="1"/>
        <v>0.88888888888888884</v>
      </c>
      <c r="Q5" s="2">
        <f t="shared" si="2"/>
        <v>1</v>
      </c>
    </row>
    <row r="6" spans="1:17">
      <c r="A6" t="s">
        <v>26</v>
      </c>
      <c r="B6" t="s">
        <v>27</v>
      </c>
      <c r="C6" t="s">
        <v>19</v>
      </c>
      <c r="D6">
        <v>10</v>
      </c>
      <c r="E6">
        <v>10</v>
      </c>
      <c r="F6">
        <v>12</v>
      </c>
      <c r="G6">
        <v>10</v>
      </c>
      <c r="H6">
        <v>8</v>
      </c>
      <c r="I6">
        <v>8</v>
      </c>
      <c r="J6">
        <v>14</v>
      </c>
      <c r="K6">
        <v>13</v>
      </c>
      <c r="L6" s="1">
        <f t="shared" si="0"/>
        <v>18</v>
      </c>
      <c r="M6" s="1">
        <f t="shared" si="0"/>
        <v>18</v>
      </c>
      <c r="N6">
        <f t="shared" si="0"/>
        <v>26</v>
      </c>
      <c r="O6">
        <f t="shared" si="0"/>
        <v>23</v>
      </c>
      <c r="P6" s="2">
        <f t="shared" si="1"/>
        <v>1</v>
      </c>
      <c r="Q6" s="2">
        <f t="shared" si="2"/>
        <v>0.88461538461538458</v>
      </c>
    </row>
    <row r="7" spans="1:17">
      <c r="A7" t="s">
        <v>28</v>
      </c>
      <c r="B7" t="s">
        <v>29</v>
      </c>
      <c r="C7" t="s">
        <v>19</v>
      </c>
      <c r="D7">
        <v>10</v>
      </c>
      <c r="E7">
        <v>9</v>
      </c>
      <c r="F7">
        <v>12</v>
      </c>
      <c r="G7">
        <v>12</v>
      </c>
      <c r="H7">
        <v>8</v>
      </c>
      <c r="I7">
        <v>8</v>
      </c>
      <c r="J7">
        <v>14</v>
      </c>
      <c r="K7">
        <v>14</v>
      </c>
      <c r="L7" s="1">
        <f t="shared" si="0"/>
        <v>18</v>
      </c>
      <c r="M7" s="1">
        <f t="shared" si="0"/>
        <v>17</v>
      </c>
      <c r="N7">
        <f t="shared" si="0"/>
        <v>26</v>
      </c>
      <c r="O7">
        <f t="shared" si="0"/>
        <v>26</v>
      </c>
      <c r="P7" s="2">
        <f t="shared" si="1"/>
        <v>0.94444444444444442</v>
      </c>
      <c r="Q7" s="2">
        <f t="shared" si="2"/>
        <v>1</v>
      </c>
    </row>
    <row r="8" spans="1:17">
      <c r="A8" t="s">
        <v>30</v>
      </c>
      <c r="B8" t="s">
        <v>31</v>
      </c>
      <c r="C8" t="s">
        <v>19</v>
      </c>
      <c r="D8">
        <v>10</v>
      </c>
      <c r="E8">
        <v>8</v>
      </c>
      <c r="F8">
        <v>12</v>
      </c>
      <c r="G8">
        <v>11</v>
      </c>
      <c r="H8">
        <v>8</v>
      </c>
      <c r="I8">
        <v>8</v>
      </c>
      <c r="J8">
        <v>14</v>
      </c>
      <c r="K8">
        <v>10</v>
      </c>
      <c r="L8" s="1">
        <f t="shared" si="0"/>
        <v>18</v>
      </c>
      <c r="M8" s="1">
        <f t="shared" si="0"/>
        <v>16</v>
      </c>
      <c r="N8">
        <f t="shared" si="0"/>
        <v>26</v>
      </c>
      <c r="O8">
        <f t="shared" si="0"/>
        <v>21</v>
      </c>
      <c r="P8" s="2">
        <f t="shared" si="1"/>
        <v>0.88888888888888884</v>
      </c>
      <c r="Q8" s="2">
        <f t="shared" si="2"/>
        <v>0.80769230769230771</v>
      </c>
    </row>
    <row r="9" spans="1:17">
      <c r="A9" t="s">
        <v>32</v>
      </c>
      <c r="B9" t="s">
        <v>33</v>
      </c>
      <c r="C9" t="s">
        <v>19</v>
      </c>
      <c r="D9">
        <v>10</v>
      </c>
      <c r="E9">
        <v>9</v>
      </c>
      <c r="F9">
        <v>12</v>
      </c>
      <c r="G9">
        <v>12</v>
      </c>
      <c r="H9">
        <v>8</v>
      </c>
      <c r="I9">
        <v>8</v>
      </c>
      <c r="J9">
        <v>14</v>
      </c>
      <c r="K9">
        <v>14</v>
      </c>
      <c r="L9" s="1">
        <f t="shared" si="0"/>
        <v>18</v>
      </c>
      <c r="M9" s="1">
        <f t="shared" si="0"/>
        <v>17</v>
      </c>
      <c r="N9">
        <f t="shared" si="0"/>
        <v>26</v>
      </c>
      <c r="O9">
        <f t="shared" si="0"/>
        <v>26</v>
      </c>
      <c r="P9" s="2">
        <f t="shared" si="1"/>
        <v>0.94444444444444442</v>
      </c>
      <c r="Q9" s="2">
        <f t="shared" si="2"/>
        <v>1</v>
      </c>
    </row>
    <row r="10" spans="1:17">
      <c r="A10" t="s">
        <v>34</v>
      </c>
      <c r="B10" t="s">
        <v>35</v>
      </c>
      <c r="C10" t="s">
        <v>19</v>
      </c>
      <c r="D10">
        <v>10</v>
      </c>
      <c r="E10">
        <v>9</v>
      </c>
      <c r="F10">
        <v>12</v>
      </c>
      <c r="G10">
        <v>12</v>
      </c>
      <c r="H10">
        <v>8</v>
      </c>
      <c r="I10">
        <v>8</v>
      </c>
      <c r="J10">
        <v>14</v>
      </c>
      <c r="K10">
        <v>14</v>
      </c>
      <c r="L10" s="1">
        <f t="shared" si="0"/>
        <v>18</v>
      </c>
      <c r="M10" s="1">
        <f t="shared" si="0"/>
        <v>17</v>
      </c>
      <c r="N10">
        <f t="shared" si="0"/>
        <v>26</v>
      </c>
      <c r="O10">
        <f t="shared" si="0"/>
        <v>26</v>
      </c>
      <c r="P10" s="2">
        <f t="shared" si="1"/>
        <v>0.94444444444444442</v>
      </c>
      <c r="Q10" s="2">
        <f t="shared" si="2"/>
        <v>1</v>
      </c>
    </row>
    <row r="11" spans="1:17">
      <c r="A11" t="s">
        <v>36</v>
      </c>
      <c r="B11" t="s">
        <v>37</v>
      </c>
      <c r="C11" t="s">
        <v>19</v>
      </c>
      <c r="D11">
        <v>10</v>
      </c>
      <c r="E11">
        <v>6</v>
      </c>
      <c r="F11">
        <v>12</v>
      </c>
      <c r="G11">
        <v>6</v>
      </c>
      <c r="H11">
        <v>8</v>
      </c>
      <c r="I11">
        <v>6</v>
      </c>
      <c r="J11">
        <v>14</v>
      </c>
      <c r="K11">
        <v>5</v>
      </c>
      <c r="L11" s="1">
        <f t="shared" si="0"/>
        <v>18</v>
      </c>
      <c r="M11" s="1">
        <f t="shared" si="0"/>
        <v>12</v>
      </c>
      <c r="N11">
        <f t="shared" si="0"/>
        <v>26</v>
      </c>
      <c r="O11">
        <f t="shared" si="0"/>
        <v>11</v>
      </c>
      <c r="P11" s="2">
        <f t="shared" si="1"/>
        <v>0.66666666666666663</v>
      </c>
      <c r="Q11" s="2">
        <f t="shared" si="2"/>
        <v>0.42307692307692307</v>
      </c>
    </row>
    <row r="12" spans="1:17">
      <c r="A12" t="s">
        <v>38</v>
      </c>
      <c r="B12" t="s">
        <v>39</v>
      </c>
      <c r="C12" t="s">
        <v>19</v>
      </c>
      <c r="D12">
        <v>10</v>
      </c>
      <c r="E12">
        <v>2</v>
      </c>
      <c r="F12">
        <v>12</v>
      </c>
      <c r="G12">
        <v>5</v>
      </c>
      <c r="H12">
        <v>8</v>
      </c>
      <c r="I12">
        <v>3</v>
      </c>
      <c r="J12">
        <v>14</v>
      </c>
      <c r="K12">
        <v>3</v>
      </c>
      <c r="L12" s="1">
        <f t="shared" si="0"/>
        <v>18</v>
      </c>
      <c r="M12" s="1">
        <f t="shared" si="0"/>
        <v>5</v>
      </c>
      <c r="N12">
        <f t="shared" si="0"/>
        <v>26</v>
      </c>
      <c r="O12">
        <f t="shared" si="0"/>
        <v>8</v>
      </c>
      <c r="P12" s="2">
        <f t="shared" si="1"/>
        <v>0.27777777777777779</v>
      </c>
      <c r="Q12" s="2">
        <f t="shared" si="2"/>
        <v>0.30769230769230771</v>
      </c>
    </row>
    <row r="13" spans="1:17">
      <c r="A13" t="s">
        <v>40</v>
      </c>
      <c r="B13" t="s">
        <v>41</v>
      </c>
      <c r="C13" t="s">
        <v>19</v>
      </c>
      <c r="D13">
        <v>10</v>
      </c>
      <c r="E13">
        <v>9</v>
      </c>
      <c r="F13">
        <v>12</v>
      </c>
      <c r="G13">
        <v>8</v>
      </c>
      <c r="H13">
        <v>8</v>
      </c>
      <c r="I13">
        <v>7</v>
      </c>
      <c r="J13">
        <v>14</v>
      </c>
      <c r="K13">
        <v>10</v>
      </c>
      <c r="L13" s="1">
        <f t="shared" si="0"/>
        <v>18</v>
      </c>
      <c r="M13" s="1">
        <f t="shared" si="0"/>
        <v>16</v>
      </c>
      <c r="N13">
        <f t="shared" si="0"/>
        <v>26</v>
      </c>
      <c r="O13">
        <f t="shared" si="0"/>
        <v>18</v>
      </c>
      <c r="P13" s="2">
        <f t="shared" si="1"/>
        <v>0.88888888888888884</v>
      </c>
      <c r="Q13" s="2">
        <f t="shared" si="2"/>
        <v>0.69230769230769229</v>
      </c>
    </row>
    <row r="14" spans="1:17">
      <c r="A14" t="s">
        <v>42</v>
      </c>
      <c r="B14" t="s">
        <v>43</v>
      </c>
      <c r="C14" t="s">
        <v>19</v>
      </c>
      <c r="D14">
        <v>10</v>
      </c>
      <c r="E14">
        <v>3</v>
      </c>
      <c r="F14">
        <v>12</v>
      </c>
      <c r="G14">
        <v>7</v>
      </c>
      <c r="H14">
        <v>8</v>
      </c>
      <c r="I14">
        <v>1</v>
      </c>
      <c r="J14">
        <v>14</v>
      </c>
      <c r="K14">
        <v>8</v>
      </c>
      <c r="L14" s="1">
        <f t="shared" si="0"/>
        <v>18</v>
      </c>
      <c r="M14" s="1">
        <f t="shared" si="0"/>
        <v>4</v>
      </c>
      <c r="N14">
        <f t="shared" si="0"/>
        <v>26</v>
      </c>
      <c r="O14">
        <f t="shared" si="0"/>
        <v>15</v>
      </c>
      <c r="P14" s="2">
        <f t="shared" si="1"/>
        <v>0.22222222222222221</v>
      </c>
      <c r="Q14" s="2">
        <f t="shared" si="2"/>
        <v>0.57692307692307687</v>
      </c>
    </row>
    <row r="15" spans="1:17">
      <c r="A15" t="s">
        <v>44</v>
      </c>
      <c r="B15" t="s">
        <v>45</v>
      </c>
      <c r="C15" t="s">
        <v>19</v>
      </c>
      <c r="D15">
        <v>10</v>
      </c>
      <c r="E15">
        <v>4</v>
      </c>
      <c r="F15">
        <v>12</v>
      </c>
      <c r="G15">
        <v>2</v>
      </c>
      <c r="H15">
        <v>8</v>
      </c>
      <c r="I15">
        <v>4</v>
      </c>
      <c r="J15">
        <v>14</v>
      </c>
      <c r="K15">
        <v>0</v>
      </c>
      <c r="L15" s="1">
        <f t="shared" si="0"/>
        <v>18</v>
      </c>
      <c r="M15" s="1">
        <f t="shared" si="0"/>
        <v>8</v>
      </c>
      <c r="N15">
        <f t="shared" si="0"/>
        <v>26</v>
      </c>
      <c r="O15">
        <f t="shared" si="0"/>
        <v>2</v>
      </c>
      <c r="P15" s="2">
        <f t="shared" si="1"/>
        <v>0.44444444444444442</v>
      </c>
      <c r="Q15" s="2">
        <f t="shared" si="2"/>
        <v>7.6923076923076927E-2</v>
      </c>
    </row>
    <row r="16" spans="1:17">
      <c r="A16" t="s">
        <v>46</v>
      </c>
      <c r="B16" t="s">
        <v>47</v>
      </c>
      <c r="C16" t="s">
        <v>19</v>
      </c>
      <c r="D16">
        <v>10</v>
      </c>
      <c r="E16">
        <v>9</v>
      </c>
      <c r="F16">
        <v>12</v>
      </c>
      <c r="G16">
        <v>11</v>
      </c>
      <c r="H16">
        <v>8</v>
      </c>
      <c r="I16">
        <v>8</v>
      </c>
      <c r="J16">
        <v>14</v>
      </c>
      <c r="K16">
        <v>13</v>
      </c>
      <c r="L16" s="1">
        <f t="shared" si="0"/>
        <v>18</v>
      </c>
      <c r="M16" s="1">
        <f t="shared" si="0"/>
        <v>17</v>
      </c>
      <c r="N16">
        <f t="shared" si="0"/>
        <v>26</v>
      </c>
      <c r="O16">
        <f t="shared" si="0"/>
        <v>24</v>
      </c>
      <c r="P16" s="2">
        <f t="shared" si="1"/>
        <v>0.94444444444444442</v>
      </c>
      <c r="Q16" s="2">
        <f t="shared" si="2"/>
        <v>0.92307692307692313</v>
      </c>
    </row>
    <row r="17" spans="1:17">
      <c r="A17" t="s">
        <v>48</v>
      </c>
      <c r="B17" t="s">
        <v>49</v>
      </c>
      <c r="C17" t="s">
        <v>19</v>
      </c>
      <c r="D17">
        <v>10</v>
      </c>
      <c r="E17">
        <v>9</v>
      </c>
      <c r="F17">
        <v>12</v>
      </c>
      <c r="G17">
        <v>12</v>
      </c>
      <c r="H17">
        <v>8</v>
      </c>
      <c r="I17">
        <v>8</v>
      </c>
      <c r="J17">
        <v>14</v>
      </c>
      <c r="K17">
        <v>14</v>
      </c>
      <c r="L17" s="1">
        <f t="shared" si="0"/>
        <v>18</v>
      </c>
      <c r="M17" s="1">
        <f t="shared" si="0"/>
        <v>17</v>
      </c>
      <c r="N17">
        <f t="shared" si="0"/>
        <v>26</v>
      </c>
      <c r="O17">
        <f t="shared" si="0"/>
        <v>26</v>
      </c>
      <c r="P17" s="2">
        <f t="shared" si="1"/>
        <v>0.94444444444444442</v>
      </c>
      <c r="Q17" s="2">
        <f t="shared" si="2"/>
        <v>1</v>
      </c>
    </row>
    <row r="18" spans="1:17">
      <c r="A18" t="s">
        <v>50</v>
      </c>
      <c r="B18" t="s">
        <v>51</v>
      </c>
      <c r="C18" t="s">
        <v>19</v>
      </c>
      <c r="D18">
        <v>10</v>
      </c>
      <c r="E18">
        <v>10</v>
      </c>
      <c r="F18">
        <v>12</v>
      </c>
      <c r="G18">
        <v>12</v>
      </c>
      <c r="H18">
        <v>8</v>
      </c>
      <c r="I18">
        <v>8</v>
      </c>
      <c r="J18">
        <v>14</v>
      </c>
      <c r="K18">
        <v>14</v>
      </c>
      <c r="L18" s="1">
        <f t="shared" si="0"/>
        <v>18</v>
      </c>
      <c r="M18" s="1">
        <f t="shared" si="0"/>
        <v>18</v>
      </c>
      <c r="N18">
        <f t="shared" si="0"/>
        <v>26</v>
      </c>
      <c r="O18">
        <f t="shared" si="0"/>
        <v>26</v>
      </c>
      <c r="P18" s="2">
        <f t="shared" si="1"/>
        <v>1</v>
      </c>
      <c r="Q18" s="2">
        <f t="shared" si="2"/>
        <v>1</v>
      </c>
    </row>
    <row r="19" spans="1:17">
      <c r="A19" t="s">
        <v>52</v>
      </c>
      <c r="B19" t="s">
        <v>53</v>
      </c>
      <c r="C19" t="s">
        <v>19</v>
      </c>
      <c r="D19">
        <v>10</v>
      </c>
      <c r="E19">
        <v>10</v>
      </c>
      <c r="F19">
        <v>12</v>
      </c>
      <c r="G19">
        <v>12</v>
      </c>
      <c r="H19">
        <v>8</v>
      </c>
      <c r="I19">
        <v>8</v>
      </c>
      <c r="J19">
        <v>14</v>
      </c>
      <c r="K19">
        <v>14</v>
      </c>
      <c r="L19" s="1">
        <f t="shared" si="0"/>
        <v>18</v>
      </c>
      <c r="M19" s="1">
        <f t="shared" si="0"/>
        <v>18</v>
      </c>
      <c r="N19">
        <f t="shared" si="0"/>
        <v>26</v>
      </c>
      <c r="O19">
        <f t="shared" si="0"/>
        <v>26</v>
      </c>
      <c r="P19" s="2">
        <f t="shared" si="1"/>
        <v>1</v>
      </c>
      <c r="Q19" s="2">
        <f t="shared" si="2"/>
        <v>1</v>
      </c>
    </row>
    <row r="20" spans="1:17">
      <c r="A20" t="s">
        <v>54</v>
      </c>
      <c r="B20" t="s">
        <v>55</v>
      </c>
      <c r="C20" t="s">
        <v>19</v>
      </c>
      <c r="D20">
        <v>10</v>
      </c>
      <c r="E20">
        <v>8</v>
      </c>
      <c r="F20">
        <v>12</v>
      </c>
      <c r="G20">
        <v>9</v>
      </c>
      <c r="H20">
        <v>8</v>
      </c>
      <c r="I20">
        <v>4</v>
      </c>
      <c r="J20">
        <v>14</v>
      </c>
      <c r="K20">
        <v>6</v>
      </c>
      <c r="L20" s="1">
        <f t="shared" si="0"/>
        <v>18</v>
      </c>
      <c r="M20" s="1">
        <f t="shared" si="0"/>
        <v>12</v>
      </c>
      <c r="N20">
        <f t="shared" si="0"/>
        <v>26</v>
      </c>
      <c r="O20">
        <f t="shared" si="0"/>
        <v>15</v>
      </c>
      <c r="P20" s="2">
        <f t="shared" si="1"/>
        <v>0.66666666666666663</v>
      </c>
      <c r="Q20" s="2">
        <f t="shared" si="2"/>
        <v>0.57692307692307687</v>
      </c>
    </row>
    <row r="21" spans="1:17">
      <c r="A21" t="s">
        <v>56</v>
      </c>
      <c r="B21" t="s">
        <v>57</v>
      </c>
      <c r="C21" t="s">
        <v>19</v>
      </c>
      <c r="D21">
        <v>10</v>
      </c>
      <c r="E21">
        <v>9</v>
      </c>
      <c r="F21">
        <v>12</v>
      </c>
      <c r="G21">
        <v>12</v>
      </c>
      <c r="H21">
        <v>8</v>
      </c>
      <c r="I21">
        <v>8</v>
      </c>
      <c r="J21">
        <v>14</v>
      </c>
      <c r="K21">
        <v>14</v>
      </c>
      <c r="L21" s="1">
        <f t="shared" si="0"/>
        <v>18</v>
      </c>
      <c r="M21" s="1">
        <f t="shared" si="0"/>
        <v>17</v>
      </c>
      <c r="N21">
        <f t="shared" si="0"/>
        <v>26</v>
      </c>
      <c r="O21">
        <f t="shared" si="0"/>
        <v>26</v>
      </c>
      <c r="P21" s="2">
        <f t="shared" si="1"/>
        <v>0.94444444444444442</v>
      </c>
      <c r="Q21" s="2">
        <f t="shared" si="2"/>
        <v>1</v>
      </c>
    </row>
    <row r="22" spans="1:17">
      <c r="A22" t="s">
        <v>58</v>
      </c>
      <c r="B22" t="s">
        <v>59</v>
      </c>
      <c r="C22" t="s">
        <v>19</v>
      </c>
      <c r="D22">
        <v>10</v>
      </c>
      <c r="E22">
        <v>10</v>
      </c>
      <c r="F22">
        <v>12</v>
      </c>
      <c r="G22">
        <v>12</v>
      </c>
      <c r="H22">
        <v>8</v>
      </c>
      <c r="I22">
        <v>7</v>
      </c>
      <c r="J22">
        <v>14</v>
      </c>
      <c r="K22">
        <v>11</v>
      </c>
      <c r="L22" s="1">
        <f t="shared" si="0"/>
        <v>18</v>
      </c>
      <c r="M22" s="1">
        <f t="shared" si="0"/>
        <v>17</v>
      </c>
      <c r="N22">
        <f t="shared" si="0"/>
        <v>26</v>
      </c>
      <c r="O22">
        <f t="shared" si="0"/>
        <v>23</v>
      </c>
      <c r="P22" s="2">
        <f t="shared" si="1"/>
        <v>0.94444444444444442</v>
      </c>
      <c r="Q22" s="2">
        <f t="shared" si="2"/>
        <v>0.88461538461538458</v>
      </c>
    </row>
    <row r="23" spans="1:17">
      <c r="A23" t="s">
        <v>60</v>
      </c>
      <c r="B23" t="s">
        <v>61</v>
      </c>
      <c r="C23" t="s">
        <v>19</v>
      </c>
      <c r="D23">
        <v>10</v>
      </c>
      <c r="E23">
        <v>9</v>
      </c>
      <c r="F23">
        <v>12</v>
      </c>
      <c r="G23">
        <v>8</v>
      </c>
      <c r="H23">
        <v>8</v>
      </c>
      <c r="I23">
        <v>8</v>
      </c>
      <c r="J23">
        <v>14</v>
      </c>
      <c r="K23">
        <v>12</v>
      </c>
      <c r="L23" s="1">
        <f t="shared" si="0"/>
        <v>18</v>
      </c>
      <c r="M23" s="1">
        <f t="shared" si="0"/>
        <v>17</v>
      </c>
      <c r="N23">
        <f t="shared" si="0"/>
        <v>26</v>
      </c>
      <c r="O23">
        <f t="shared" si="0"/>
        <v>20</v>
      </c>
      <c r="P23" s="2">
        <f t="shared" si="1"/>
        <v>0.94444444444444442</v>
      </c>
      <c r="Q23" s="2">
        <f t="shared" si="2"/>
        <v>0.76923076923076927</v>
      </c>
    </row>
    <row r="24" spans="1:17">
      <c r="A24" t="s">
        <v>62</v>
      </c>
      <c r="B24" t="s">
        <v>63</v>
      </c>
      <c r="C24" t="s">
        <v>19</v>
      </c>
      <c r="D24">
        <v>10</v>
      </c>
      <c r="E24">
        <v>8</v>
      </c>
      <c r="F24">
        <v>12</v>
      </c>
      <c r="G24">
        <v>12</v>
      </c>
      <c r="H24">
        <v>8</v>
      </c>
      <c r="I24">
        <v>7</v>
      </c>
      <c r="J24">
        <v>14</v>
      </c>
      <c r="K24">
        <v>10</v>
      </c>
      <c r="L24" s="1">
        <f t="shared" si="0"/>
        <v>18</v>
      </c>
      <c r="M24" s="1">
        <f t="shared" si="0"/>
        <v>15</v>
      </c>
      <c r="N24">
        <f t="shared" si="0"/>
        <v>26</v>
      </c>
      <c r="O24">
        <f t="shared" si="0"/>
        <v>22</v>
      </c>
      <c r="P24" s="2">
        <f t="shared" si="1"/>
        <v>0.83333333333333337</v>
      </c>
      <c r="Q24" s="2">
        <f t="shared" si="2"/>
        <v>0.84615384615384615</v>
      </c>
    </row>
    <row r="25" spans="1:17">
      <c r="A25" t="s">
        <v>64</v>
      </c>
      <c r="B25" t="s">
        <v>65</v>
      </c>
      <c r="C25" t="s">
        <v>19</v>
      </c>
      <c r="D25">
        <v>10</v>
      </c>
      <c r="E25">
        <v>2</v>
      </c>
      <c r="F25">
        <v>12</v>
      </c>
      <c r="G25">
        <v>3</v>
      </c>
      <c r="H25">
        <v>8</v>
      </c>
      <c r="I25">
        <v>1</v>
      </c>
      <c r="J25">
        <v>14</v>
      </c>
      <c r="K25">
        <v>2</v>
      </c>
      <c r="L25" s="1">
        <f t="shared" si="0"/>
        <v>18</v>
      </c>
      <c r="M25" s="1">
        <f t="shared" si="0"/>
        <v>3</v>
      </c>
      <c r="N25">
        <f t="shared" si="0"/>
        <v>26</v>
      </c>
      <c r="O25">
        <f t="shared" si="0"/>
        <v>5</v>
      </c>
      <c r="P25" s="2">
        <f t="shared" si="1"/>
        <v>0.16666666666666666</v>
      </c>
      <c r="Q25" s="2">
        <f t="shared" si="2"/>
        <v>0.19230769230769232</v>
      </c>
    </row>
    <row r="26" spans="1:17">
      <c r="A26" t="s">
        <v>66</v>
      </c>
      <c r="B26" t="s">
        <v>67</v>
      </c>
      <c r="C26" t="s">
        <v>19</v>
      </c>
      <c r="D26">
        <v>10</v>
      </c>
      <c r="E26">
        <v>10</v>
      </c>
      <c r="F26">
        <v>12</v>
      </c>
      <c r="G26">
        <v>12</v>
      </c>
      <c r="H26">
        <v>8</v>
      </c>
      <c r="I26">
        <v>8</v>
      </c>
      <c r="J26">
        <v>14</v>
      </c>
      <c r="K26">
        <v>14</v>
      </c>
      <c r="L26" s="1">
        <f t="shared" si="0"/>
        <v>18</v>
      </c>
      <c r="M26" s="1">
        <f t="shared" si="0"/>
        <v>18</v>
      </c>
      <c r="N26">
        <f t="shared" si="0"/>
        <v>26</v>
      </c>
      <c r="O26">
        <f t="shared" si="0"/>
        <v>26</v>
      </c>
      <c r="P26" s="2">
        <f t="shared" si="1"/>
        <v>1</v>
      </c>
      <c r="Q26" s="2">
        <f t="shared" si="2"/>
        <v>1</v>
      </c>
    </row>
    <row r="27" spans="1:17">
      <c r="A27" t="s">
        <v>68</v>
      </c>
      <c r="B27" t="s">
        <v>69</v>
      </c>
      <c r="C27" t="s">
        <v>19</v>
      </c>
      <c r="D27">
        <v>10</v>
      </c>
      <c r="E27">
        <v>10</v>
      </c>
      <c r="F27">
        <v>12</v>
      </c>
      <c r="G27">
        <v>12</v>
      </c>
      <c r="H27">
        <v>8</v>
      </c>
      <c r="I27">
        <v>6</v>
      </c>
      <c r="J27">
        <v>14</v>
      </c>
      <c r="K27">
        <v>13</v>
      </c>
      <c r="L27" s="1">
        <f t="shared" si="0"/>
        <v>18</v>
      </c>
      <c r="M27" s="1">
        <f t="shared" si="0"/>
        <v>16</v>
      </c>
      <c r="N27">
        <f t="shared" si="0"/>
        <v>26</v>
      </c>
      <c r="O27">
        <f t="shared" si="0"/>
        <v>25</v>
      </c>
      <c r="P27" s="2">
        <f t="shared" si="1"/>
        <v>0.88888888888888884</v>
      </c>
      <c r="Q27" s="2">
        <f t="shared" si="2"/>
        <v>0.96153846153846156</v>
      </c>
    </row>
    <row r="28" spans="1:17">
      <c r="A28" t="s">
        <v>70</v>
      </c>
      <c r="B28" t="s">
        <v>71</v>
      </c>
      <c r="C28" t="s">
        <v>19</v>
      </c>
      <c r="D28">
        <v>10</v>
      </c>
      <c r="E28">
        <v>9</v>
      </c>
      <c r="F28">
        <v>12</v>
      </c>
      <c r="G28">
        <v>6</v>
      </c>
      <c r="H28">
        <v>8</v>
      </c>
      <c r="I28">
        <v>8</v>
      </c>
      <c r="J28">
        <v>14</v>
      </c>
      <c r="K28">
        <v>11</v>
      </c>
      <c r="L28" s="1">
        <f t="shared" si="0"/>
        <v>18</v>
      </c>
      <c r="M28" s="1">
        <f t="shared" si="0"/>
        <v>17</v>
      </c>
      <c r="N28">
        <f t="shared" si="0"/>
        <v>26</v>
      </c>
      <c r="O28">
        <f t="shared" si="0"/>
        <v>17</v>
      </c>
      <c r="P28" s="2">
        <f t="shared" si="1"/>
        <v>0.94444444444444442</v>
      </c>
      <c r="Q28" s="2">
        <f t="shared" si="2"/>
        <v>0.65384615384615385</v>
      </c>
    </row>
    <row r="29" spans="1:17">
      <c r="A29" t="s">
        <v>72</v>
      </c>
      <c r="B29" t="s">
        <v>73</v>
      </c>
      <c r="C29" t="s">
        <v>19</v>
      </c>
      <c r="D29">
        <v>10</v>
      </c>
      <c r="E29">
        <v>8</v>
      </c>
      <c r="F29">
        <v>12</v>
      </c>
      <c r="G29">
        <v>11</v>
      </c>
      <c r="H29">
        <v>8</v>
      </c>
      <c r="I29">
        <v>7</v>
      </c>
      <c r="J29">
        <v>14</v>
      </c>
      <c r="K29">
        <v>14</v>
      </c>
      <c r="L29" s="1">
        <f t="shared" si="0"/>
        <v>18</v>
      </c>
      <c r="M29" s="1">
        <f t="shared" si="0"/>
        <v>15</v>
      </c>
      <c r="N29">
        <f t="shared" si="0"/>
        <v>26</v>
      </c>
      <c r="O29">
        <f t="shared" si="0"/>
        <v>25</v>
      </c>
      <c r="P29" s="2">
        <f t="shared" si="1"/>
        <v>0.83333333333333337</v>
      </c>
      <c r="Q29" s="2">
        <f t="shared" si="2"/>
        <v>0.96153846153846156</v>
      </c>
    </row>
    <row r="30" spans="1:17">
      <c r="A30" t="s">
        <v>74</v>
      </c>
      <c r="B30" t="s">
        <v>75</v>
      </c>
      <c r="C30" t="s">
        <v>19</v>
      </c>
      <c r="D30">
        <v>10</v>
      </c>
      <c r="E30">
        <v>9</v>
      </c>
      <c r="F30">
        <v>12</v>
      </c>
      <c r="G30">
        <v>12</v>
      </c>
      <c r="H30">
        <v>8</v>
      </c>
      <c r="I30">
        <v>8</v>
      </c>
      <c r="J30">
        <v>14</v>
      </c>
      <c r="K30">
        <v>14</v>
      </c>
      <c r="L30" s="1">
        <f t="shared" si="0"/>
        <v>18</v>
      </c>
      <c r="M30" s="1">
        <f t="shared" si="0"/>
        <v>17</v>
      </c>
      <c r="N30">
        <f t="shared" si="0"/>
        <v>26</v>
      </c>
      <c r="O30">
        <f t="shared" si="0"/>
        <v>26</v>
      </c>
      <c r="P30" s="2">
        <f t="shared" si="1"/>
        <v>0.94444444444444442</v>
      </c>
      <c r="Q30" s="2">
        <f t="shared" si="2"/>
        <v>1</v>
      </c>
    </row>
    <row r="31" spans="1:17">
      <c r="A31" t="s">
        <v>76</v>
      </c>
      <c r="B31" t="s">
        <v>77</v>
      </c>
      <c r="C31" t="s">
        <v>19</v>
      </c>
      <c r="D31">
        <v>10</v>
      </c>
      <c r="E31">
        <v>8</v>
      </c>
      <c r="F31">
        <v>12</v>
      </c>
      <c r="G31">
        <v>9</v>
      </c>
      <c r="H31">
        <v>8</v>
      </c>
      <c r="I31">
        <v>7</v>
      </c>
      <c r="J31">
        <v>14</v>
      </c>
      <c r="K31">
        <v>12</v>
      </c>
      <c r="L31" s="1">
        <f t="shared" si="0"/>
        <v>18</v>
      </c>
      <c r="M31" s="1">
        <f t="shared" si="0"/>
        <v>15</v>
      </c>
      <c r="N31">
        <f t="shared" si="0"/>
        <v>26</v>
      </c>
      <c r="O31">
        <f t="shared" si="0"/>
        <v>21</v>
      </c>
      <c r="P31" s="2">
        <f t="shared" si="1"/>
        <v>0.83333333333333337</v>
      </c>
      <c r="Q31" s="2">
        <f t="shared" si="2"/>
        <v>0.80769230769230771</v>
      </c>
    </row>
    <row r="32" spans="1:17">
      <c r="A32" t="s">
        <v>78</v>
      </c>
      <c r="B32" t="s">
        <v>79</v>
      </c>
      <c r="C32" t="s">
        <v>19</v>
      </c>
      <c r="D32">
        <v>10</v>
      </c>
      <c r="E32">
        <v>9</v>
      </c>
      <c r="F32">
        <v>12</v>
      </c>
      <c r="G32">
        <v>12</v>
      </c>
      <c r="H32">
        <v>8</v>
      </c>
      <c r="I32">
        <v>8</v>
      </c>
      <c r="J32">
        <v>14</v>
      </c>
      <c r="K32">
        <v>14</v>
      </c>
      <c r="L32" s="1">
        <f t="shared" si="0"/>
        <v>18</v>
      </c>
      <c r="M32" s="1">
        <f t="shared" si="0"/>
        <v>17</v>
      </c>
      <c r="N32">
        <f t="shared" si="0"/>
        <v>26</v>
      </c>
      <c r="O32">
        <f t="shared" si="0"/>
        <v>26</v>
      </c>
      <c r="P32" s="2">
        <f t="shared" si="1"/>
        <v>0.94444444444444442</v>
      </c>
      <c r="Q32" s="2">
        <f t="shared" si="2"/>
        <v>1</v>
      </c>
    </row>
    <row r="33" spans="1:17">
      <c r="A33" t="s">
        <v>80</v>
      </c>
      <c r="B33" t="s">
        <v>81</v>
      </c>
      <c r="C33" t="s">
        <v>19</v>
      </c>
      <c r="D33">
        <v>10</v>
      </c>
      <c r="E33">
        <v>9</v>
      </c>
      <c r="F33">
        <v>12</v>
      </c>
      <c r="G33">
        <v>6</v>
      </c>
      <c r="H33">
        <v>8</v>
      </c>
      <c r="I33">
        <v>8</v>
      </c>
      <c r="J33">
        <v>14</v>
      </c>
      <c r="K33">
        <v>11</v>
      </c>
      <c r="L33" s="1">
        <f t="shared" si="0"/>
        <v>18</v>
      </c>
      <c r="M33" s="1">
        <f t="shared" si="0"/>
        <v>17</v>
      </c>
      <c r="N33">
        <f t="shared" si="0"/>
        <v>26</v>
      </c>
      <c r="O33">
        <f t="shared" si="0"/>
        <v>17</v>
      </c>
      <c r="P33" s="2">
        <f t="shared" si="1"/>
        <v>0.94444444444444442</v>
      </c>
      <c r="Q33" s="2">
        <f t="shared" si="2"/>
        <v>0.65384615384615385</v>
      </c>
    </row>
    <row r="34" spans="1:17">
      <c r="A34" t="s">
        <v>82</v>
      </c>
      <c r="B34" t="s">
        <v>83</v>
      </c>
      <c r="C34" t="s">
        <v>19</v>
      </c>
      <c r="D34">
        <v>10</v>
      </c>
      <c r="E34">
        <v>9</v>
      </c>
      <c r="F34">
        <v>12</v>
      </c>
      <c r="G34">
        <v>11</v>
      </c>
      <c r="H34">
        <v>8</v>
      </c>
      <c r="I34">
        <v>8</v>
      </c>
      <c r="J34">
        <v>14</v>
      </c>
      <c r="K34">
        <v>14</v>
      </c>
      <c r="L34" s="1">
        <f t="shared" si="0"/>
        <v>18</v>
      </c>
      <c r="M34" s="1">
        <f t="shared" si="0"/>
        <v>17</v>
      </c>
      <c r="N34">
        <f t="shared" si="0"/>
        <v>26</v>
      </c>
      <c r="O34">
        <f t="shared" si="0"/>
        <v>25</v>
      </c>
      <c r="P34" s="2">
        <f t="shared" si="1"/>
        <v>0.94444444444444442</v>
      </c>
      <c r="Q34" s="2">
        <f t="shared" si="2"/>
        <v>0.96153846153846156</v>
      </c>
    </row>
    <row r="35" spans="1:17">
      <c r="A35" t="s">
        <v>84</v>
      </c>
      <c r="B35" t="s">
        <v>85</v>
      </c>
      <c r="C35" t="s">
        <v>19</v>
      </c>
      <c r="D35">
        <v>10</v>
      </c>
      <c r="E35">
        <v>9</v>
      </c>
      <c r="F35">
        <v>12</v>
      </c>
      <c r="G35">
        <v>12</v>
      </c>
      <c r="H35">
        <v>8</v>
      </c>
      <c r="I35">
        <v>8</v>
      </c>
      <c r="J35">
        <v>14</v>
      </c>
      <c r="K35">
        <v>13</v>
      </c>
      <c r="L35" s="1">
        <f t="shared" si="0"/>
        <v>18</v>
      </c>
      <c r="M35" s="1">
        <f t="shared" si="0"/>
        <v>17</v>
      </c>
      <c r="N35">
        <f t="shared" si="0"/>
        <v>26</v>
      </c>
      <c r="O35">
        <f t="shared" si="0"/>
        <v>25</v>
      </c>
      <c r="P35" s="2">
        <f t="shared" si="1"/>
        <v>0.94444444444444442</v>
      </c>
      <c r="Q35" s="2">
        <f t="shared" si="2"/>
        <v>0.96153846153846156</v>
      </c>
    </row>
    <row r="36" spans="1:17">
      <c r="A36" t="s">
        <v>86</v>
      </c>
      <c r="B36" t="s">
        <v>87</v>
      </c>
      <c r="C36" t="s">
        <v>19</v>
      </c>
      <c r="D36">
        <v>10</v>
      </c>
      <c r="E36">
        <v>9</v>
      </c>
      <c r="F36">
        <v>12</v>
      </c>
      <c r="G36">
        <v>12</v>
      </c>
      <c r="H36">
        <v>8</v>
      </c>
      <c r="I36">
        <v>8</v>
      </c>
      <c r="J36">
        <v>14</v>
      </c>
      <c r="K36">
        <v>14</v>
      </c>
      <c r="L36" s="1">
        <f t="shared" si="0"/>
        <v>18</v>
      </c>
      <c r="M36" s="1">
        <f t="shared" si="0"/>
        <v>17</v>
      </c>
      <c r="N36">
        <f t="shared" si="0"/>
        <v>26</v>
      </c>
      <c r="O36">
        <f t="shared" si="0"/>
        <v>26</v>
      </c>
      <c r="P36" s="2">
        <f t="shared" si="1"/>
        <v>0.94444444444444442</v>
      </c>
      <c r="Q36" s="2">
        <f t="shared" si="2"/>
        <v>1</v>
      </c>
    </row>
    <row r="37" spans="1:17">
      <c r="A37" t="s">
        <v>88</v>
      </c>
      <c r="B37" t="s">
        <v>89</v>
      </c>
      <c r="C37" t="s">
        <v>19</v>
      </c>
      <c r="D37">
        <v>10</v>
      </c>
      <c r="E37">
        <v>9</v>
      </c>
      <c r="F37">
        <v>12</v>
      </c>
      <c r="G37">
        <v>12</v>
      </c>
      <c r="H37">
        <v>8</v>
      </c>
      <c r="I37">
        <v>8</v>
      </c>
      <c r="J37">
        <v>14</v>
      </c>
      <c r="K37">
        <v>14</v>
      </c>
      <c r="L37" s="1">
        <f t="shared" si="0"/>
        <v>18</v>
      </c>
      <c r="M37" s="1">
        <f t="shared" si="0"/>
        <v>17</v>
      </c>
      <c r="N37">
        <f t="shared" si="0"/>
        <v>26</v>
      </c>
      <c r="O37">
        <f t="shared" si="0"/>
        <v>26</v>
      </c>
      <c r="P37" s="2">
        <f t="shared" si="1"/>
        <v>0.94444444444444442</v>
      </c>
      <c r="Q37" s="2">
        <f t="shared" si="2"/>
        <v>1</v>
      </c>
    </row>
    <row r="38" spans="1:17">
      <c r="A38" t="s">
        <v>90</v>
      </c>
      <c r="B38" t="s">
        <v>91</v>
      </c>
      <c r="C38" t="s">
        <v>92</v>
      </c>
      <c r="D38">
        <v>10</v>
      </c>
      <c r="E38">
        <v>9</v>
      </c>
      <c r="F38">
        <v>12</v>
      </c>
      <c r="G38">
        <v>12</v>
      </c>
      <c r="H38">
        <v>8</v>
      </c>
      <c r="I38">
        <v>7</v>
      </c>
      <c r="J38">
        <v>14</v>
      </c>
      <c r="K38">
        <v>14</v>
      </c>
      <c r="L38" s="1">
        <f t="shared" si="0"/>
        <v>18</v>
      </c>
      <c r="M38" s="1">
        <f t="shared" si="0"/>
        <v>16</v>
      </c>
      <c r="N38">
        <f t="shared" si="0"/>
        <v>26</v>
      </c>
      <c r="O38">
        <f t="shared" si="0"/>
        <v>26</v>
      </c>
      <c r="P38" s="2">
        <f t="shared" si="1"/>
        <v>0.88888888888888884</v>
      </c>
      <c r="Q38" s="2">
        <f t="shared" si="2"/>
        <v>1</v>
      </c>
    </row>
    <row r="39" spans="1:17">
      <c r="A39" t="s">
        <v>93</v>
      </c>
      <c r="B39" t="s">
        <v>94</v>
      </c>
      <c r="C39" t="s">
        <v>92</v>
      </c>
      <c r="D39">
        <v>10</v>
      </c>
      <c r="E39">
        <v>9</v>
      </c>
      <c r="F39">
        <v>12</v>
      </c>
      <c r="G39">
        <v>10</v>
      </c>
      <c r="H39">
        <v>8</v>
      </c>
      <c r="I39">
        <v>8</v>
      </c>
      <c r="J39">
        <v>14</v>
      </c>
      <c r="K39">
        <v>10</v>
      </c>
      <c r="L39" s="1">
        <f t="shared" si="0"/>
        <v>18</v>
      </c>
      <c r="M39" s="1">
        <f t="shared" si="0"/>
        <v>17</v>
      </c>
      <c r="N39">
        <f t="shared" si="0"/>
        <v>26</v>
      </c>
      <c r="O39">
        <f t="shared" si="0"/>
        <v>20</v>
      </c>
      <c r="P39" s="2">
        <f t="shared" si="1"/>
        <v>0.94444444444444442</v>
      </c>
      <c r="Q39" s="2">
        <f t="shared" si="2"/>
        <v>0.76923076923076927</v>
      </c>
    </row>
    <row r="40" spans="1:17">
      <c r="A40" t="s">
        <v>95</v>
      </c>
      <c r="B40" t="s">
        <v>96</v>
      </c>
      <c r="C40" t="s">
        <v>92</v>
      </c>
      <c r="D40">
        <v>10</v>
      </c>
      <c r="E40">
        <v>9</v>
      </c>
      <c r="F40">
        <v>12</v>
      </c>
      <c r="G40">
        <v>12</v>
      </c>
      <c r="H40">
        <v>8</v>
      </c>
      <c r="I40">
        <v>8</v>
      </c>
      <c r="J40">
        <v>14</v>
      </c>
      <c r="K40">
        <v>14</v>
      </c>
      <c r="L40" s="1">
        <f t="shared" si="0"/>
        <v>18</v>
      </c>
      <c r="M40" s="1">
        <f t="shared" si="0"/>
        <v>17</v>
      </c>
      <c r="N40">
        <f t="shared" si="0"/>
        <v>26</v>
      </c>
      <c r="O40">
        <f t="shared" si="0"/>
        <v>26</v>
      </c>
      <c r="P40" s="2">
        <f t="shared" si="1"/>
        <v>0.94444444444444442</v>
      </c>
      <c r="Q40" s="2">
        <f t="shared" si="2"/>
        <v>1</v>
      </c>
    </row>
    <row r="41" spans="1:17">
      <c r="A41" t="s">
        <v>97</v>
      </c>
      <c r="B41" t="s">
        <v>98</v>
      </c>
      <c r="C41" t="s">
        <v>92</v>
      </c>
      <c r="D41">
        <v>10</v>
      </c>
      <c r="E41">
        <v>9</v>
      </c>
      <c r="F41">
        <v>12</v>
      </c>
      <c r="G41">
        <v>12</v>
      </c>
      <c r="H41">
        <v>8</v>
      </c>
      <c r="I41">
        <v>8</v>
      </c>
      <c r="J41">
        <v>14</v>
      </c>
      <c r="K41">
        <v>14</v>
      </c>
      <c r="L41" s="1">
        <f t="shared" si="0"/>
        <v>18</v>
      </c>
      <c r="M41" s="1">
        <f t="shared" si="0"/>
        <v>17</v>
      </c>
      <c r="N41">
        <f t="shared" si="0"/>
        <v>26</v>
      </c>
      <c r="O41">
        <f t="shared" si="0"/>
        <v>26</v>
      </c>
      <c r="P41" s="2">
        <f t="shared" si="1"/>
        <v>0.94444444444444442</v>
      </c>
      <c r="Q41" s="2">
        <f t="shared" si="2"/>
        <v>1</v>
      </c>
    </row>
    <row r="42" spans="1:17">
      <c r="A42" t="s">
        <v>99</v>
      </c>
      <c r="B42" t="s">
        <v>100</v>
      </c>
      <c r="C42" t="s">
        <v>92</v>
      </c>
      <c r="D42">
        <v>10</v>
      </c>
      <c r="E42">
        <v>9</v>
      </c>
      <c r="F42">
        <v>12</v>
      </c>
      <c r="G42">
        <v>9</v>
      </c>
      <c r="H42">
        <v>8</v>
      </c>
      <c r="I42">
        <v>8</v>
      </c>
      <c r="J42">
        <v>14</v>
      </c>
      <c r="K42">
        <v>14</v>
      </c>
      <c r="L42" s="1">
        <f t="shared" si="0"/>
        <v>18</v>
      </c>
      <c r="M42" s="1">
        <f t="shared" si="0"/>
        <v>17</v>
      </c>
      <c r="N42">
        <f t="shared" si="0"/>
        <v>26</v>
      </c>
      <c r="O42">
        <f t="shared" si="0"/>
        <v>23</v>
      </c>
      <c r="P42" s="2">
        <f t="shared" si="1"/>
        <v>0.94444444444444442</v>
      </c>
      <c r="Q42" s="2">
        <f t="shared" si="2"/>
        <v>0.88461538461538458</v>
      </c>
    </row>
    <row r="43" spans="1:17">
      <c r="A43" t="s">
        <v>101</v>
      </c>
      <c r="B43" t="s">
        <v>102</v>
      </c>
      <c r="C43" t="s">
        <v>92</v>
      </c>
      <c r="D43">
        <v>10</v>
      </c>
      <c r="E43">
        <v>9</v>
      </c>
      <c r="F43">
        <v>12</v>
      </c>
      <c r="G43">
        <v>12</v>
      </c>
      <c r="H43">
        <v>8</v>
      </c>
      <c r="I43">
        <v>8</v>
      </c>
      <c r="J43">
        <v>14</v>
      </c>
      <c r="K43">
        <v>12</v>
      </c>
      <c r="L43" s="1">
        <f t="shared" si="0"/>
        <v>18</v>
      </c>
      <c r="M43" s="1">
        <f t="shared" si="0"/>
        <v>17</v>
      </c>
      <c r="N43">
        <f t="shared" si="0"/>
        <v>26</v>
      </c>
      <c r="O43">
        <f t="shared" si="0"/>
        <v>24</v>
      </c>
      <c r="P43" s="2">
        <f t="shared" si="1"/>
        <v>0.94444444444444442</v>
      </c>
      <c r="Q43" s="2">
        <f t="shared" si="2"/>
        <v>0.92307692307692313</v>
      </c>
    </row>
    <row r="44" spans="1:17">
      <c r="A44" t="s">
        <v>103</v>
      </c>
      <c r="B44" t="s">
        <v>104</v>
      </c>
      <c r="C44" t="s">
        <v>92</v>
      </c>
      <c r="D44">
        <v>10</v>
      </c>
      <c r="E44">
        <v>9</v>
      </c>
      <c r="F44">
        <v>12</v>
      </c>
      <c r="G44">
        <v>12</v>
      </c>
      <c r="H44">
        <v>8</v>
      </c>
      <c r="I44">
        <v>8</v>
      </c>
      <c r="J44">
        <v>14</v>
      </c>
      <c r="K44">
        <v>12</v>
      </c>
      <c r="L44" s="1">
        <f t="shared" si="0"/>
        <v>18</v>
      </c>
      <c r="M44" s="1">
        <f t="shared" si="0"/>
        <v>17</v>
      </c>
      <c r="N44">
        <f t="shared" si="0"/>
        <v>26</v>
      </c>
      <c r="O44">
        <f t="shared" si="0"/>
        <v>24</v>
      </c>
      <c r="P44" s="2">
        <f t="shared" si="1"/>
        <v>0.94444444444444442</v>
      </c>
      <c r="Q44" s="2">
        <f t="shared" si="2"/>
        <v>0.92307692307692313</v>
      </c>
    </row>
    <row r="45" spans="1:17">
      <c r="A45" t="s">
        <v>105</v>
      </c>
      <c r="B45" t="s">
        <v>106</v>
      </c>
      <c r="C45" t="s">
        <v>92</v>
      </c>
      <c r="D45">
        <v>10</v>
      </c>
      <c r="E45">
        <v>6</v>
      </c>
      <c r="F45">
        <v>12</v>
      </c>
      <c r="G45">
        <v>4</v>
      </c>
      <c r="H45">
        <v>8</v>
      </c>
      <c r="I45">
        <v>7</v>
      </c>
      <c r="J45">
        <v>14</v>
      </c>
      <c r="K45">
        <v>11</v>
      </c>
      <c r="L45" s="1">
        <f t="shared" si="0"/>
        <v>18</v>
      </c>
      <c r="M45" s="1">
        <f t="shared" si="0"/>
        <v>13</v>
      </c>
      <c r="N45">
        <f t="shared" si="0"/>
        <v>26</v>
      </c>
      <c r="O45">
        <f t="shared" si="0"/>
        <v>15</v>
      </c>
      <c r="P45" s="2">
        <f t="shared" si="1"/>
        <v>0.72222222222222221</v>
      </c>
      <c r="Q45" s="2">
        <f t="shared" si="2"/>
        <v>0.57692307692307687</v>
      </c>
    </row>
    <row r="46" spans="1:17">
      <c r="A46" t="s">
        <v>107</v>
      </c>
      <c r="B46" t="s">
        <v>108</v>
      </c>
      <c r="C46" t="s">
        <v>92</v>
      </c>
      <c r="D46">
        <v>10</v>
      </c>
      <c r="E46">
        <v>9</v>
      </c>
      <c r="F46">
        <v>12</v>
      </c>
      <c r="G46">
        <v>8</v>
      </c>
      <c r="H46">
        <v>8</v>
      </c>
      <c r="I46">
        <v>5</v>
      </c>
      <c r="J46">
        <v>14</v>
      </c>
      <c r="K46">
        <v>11</v>
      </c>
      <c r="L46" s="1">
        <f t="shared" si="0"/>
        <v>18</v>
      </c>
      <c r="M46" s="1">
        <f t="shared" si="0"/>
        <v>14</v>
      </c>
      <c r="N46">
        <f t="shared" si="0"/>
        <v>26</v>
      </c>
      <c r="O46">
        <f t="shared" si="0"/>
        <v>19</v>
      </c>
      <c r="P46" s="2">
        <f t="shared" si="1"/>
        <v>0.77777777777777779</v>
      </c>
      <c r="Q46" s="2">
        <f t="shared" si="2"/>
        <v>0.73076923076923073</v>
      </c>
    </row>
    <row r="47" spans="1:17">
      <c r="A47" t="s">
        <v>109</v>
      </c>
      <c r="B47" t="s">
        <v>110</v>
      </c>
      <c r="C47" t="s">
        <v>92</v>
      </c>
      <c r="D47">
        <v>10</v>
      </c>
      <c r="E47">
        <v>9</v>
      </c>
      <c r="F47">
        <v>12</v>
      </c>
      <c r="G47">
        <v>8</v>
      </c>
      <c r="H47">
        <v>8</v>
      </c>
      <c r="I47">
        <v>7</v>
      </c>
      <c r="J47">
        <v>14</v>
      </c>
      <c r="K47">
        <v>12</v>
      </c>
      <c r="L47" s="1">
        <f t="shared" si="0"/>
        <v>18</v>
      </c>
      <c r="M47" s="1">
        <f t="shared" si="0"/>
        <v>16</v>
      </c>
      <c r="N47">
        <f t="shared" si="0"/>
        <v>26</v>
      </c>
      <c r="O47">
        <f t="shared" si="0"/>
        <v>20</v>
      </c>
      <c r="P47" s="2">
        <f t="shared" si="1"/>
        <v>0.88888888888888884</v>
      </c>
      <c r="Q47" s="2">
        <f t="shared" si="2"/>
        <v>0.76923076923076927</v>
      </c>
    </row>
    <row r="48" spans="1:17">
      <c r="A48" t="s">
        <v>111</v>
      </c>
      <c r="B48" t="s">
        <v>112</v>
      </c>
      <c r="C48" t="s">
        <v>92</v>
      </c>
      <c r="D48">
        <v>10</v>
      </c>
      <c r="E48">
        <v>10</v>
      </c>
      <c r="F48">
        <v>12</v>
      </c>
      <c r="G48">
        <v>12</v>
      </c>
      <c r="H48">
        <v>8</v>
      </c>
      <c r="I48">
        <v>7</v>
      </c>
      <c r="J48">
        <v>14</v>
      </c>
      <c r="K48">
        <v>14</v>
      </c>
      <c r="L48" s="1">
        <f t="shared" si="0"/>
        <v>18</v>
      </c>
      <c r="M48" s="1">
        <f t="shared" si="0"/>
        <v>17</v>
      </c>
      <c r="N48">
        <f t="shared" si="0"/>
        <v>26</v>
      </c>
      <c r="O48">
        <f t="shared" si="0"/>
        <v>26</v>
      </c>
      <c r="P48" s="2">
        <f t="shared" si="1"/>
        <v>0.94444444444444442</v>
      </c>
      <c r="Q48" s="2">
        <f t="shared" si="2"/>
        <v>1</v>
      </c>
    </row>
    <row r="49" spans="1:17">
      <c r="A49" t="s">
        <v>113</v>
      </c>
      <c r="B49" t="s">
        <v>114</v>
      </c>
      <c r="C49" t="s">
        <v>92</v>
      </c>
      <c r="D49">
        <v>10</v>
      </c>
      <c r="E49">
        <v>9</v>
      </c>
      <c r="F49">
        <v>12</v>
      </c>
      <c r="G49">
        <v>12</v>
      </c>
      <c r="H49">
        <v>8</v>
      </c>
      <c r="I49">
        <v>8</v>
      </c>
      <c r="J49">
        <v>14</v>
      </c>
      <c r="K49">
        <v>14</v>
      </c>
      <c r="L49" s="1">
        <f t="shared" si="0"/>
        <v>18</v>
      </c>
      <c r="M49" s="1">
        <f t="shared" si="0"/>
        <v>17</v>
      </c>
      <c r="N49">
        <f t="shared" si="0"/>
        <v>26</v>
      </c>
      <c r="O49">
        <f t="shared" si="0"/>
        <v>26</v>
      </c>
      <c r="P49" s="2">
        <f t="shared" si="1"/>
        <v>0.94444444444444442</v>
      </c>
      <c r="Q49" s="2">
        <f t="shared" si="2"/>
        <v>1</v>
      </c>
    </row>
    <row r="50" spans="1:17">
      <c r="A50" t="s">
        <v>115</v>
      </c>
      <c r="B50" t="s">
        <v>116</v>
      </c>
      <c r="C50" t="s">
        <v>92</v>
      </c>
      <c r="D50">
        <v>10</v>
      </c>
      <c r="E50">
        <v>9</v>
      </c>
      <c r="F50">
        <v>12</v>
      </c>
      <c r="G50">
        <v>11</v>
      </c>
      <c r="H50">
        <v>8</v>
      </c>
      <c r="I50">
        <v>8</v>
      </c>
      <c r="J50">
        <v>14</v>
      </c>
      <c r="K50">
        <v>13</v>
      </c>
      <c r="L50" s="1">
        <f t="shared" si="0"/>
        <v>18</v>
      </c>
      <c r="M50" s="1">
        <f t="shared" si="0"/>
        <v>17</v>
      </c>
      <c r="N50">
        <f t="shared" si="0"/>
        <v>26</v>
      </c>
      <c r="O50">
        <f t="shared" si="0"/>
        <v>24</v>
      </c>
      <c r="P50" s="2">
        <f t="shared" si="1"/>
        <v>0.94444444444444442</v>
      </c>
      <c r="Q50" s="2">
        <f t="shared" si="2"/>
        <v>0.92307692307692313</v>
      </c>
    </row>
    <row r="51" spans="1:17">
      <c r="A51" t="s">
        <v>117</v>
      </c>
      <c r="B51" t="s">
        <v>118</v>
      </c>
      <c r="C51" t="s">
        <v>92</v>
      </c>
      <c r="D51">
        <v>10</v>
      </c>
      <c r="E51">
        <v>9</v>
      </c>
      <c r="F51">
        <v>12</v>
      </c>
      <c r="G51">
        <v>9</v>
      </c>
      <c r="H51">
        <v>8</v>
      </c>
      <c r="I51">
        <v>8</v>
      </c>
      <c r="J51">
        <v>14</v>
      </c>
      <c r="K51">
        <v>14</v>
      </c>
      <c r="L51" s="1">
        <f t="shared" si="0"/>
        <v>18</v>
      </c>
      <c r="M51" s="1">
        <f t="shared" si="0"/>
        <v>17</v>
      </c>
      <c r="N51">
        <f t="shared" si="0"/>
        <v>26</v>
      </c>
      <c r="O51">
        <f t="shared" si="0"/>
        <v>23</v>
      </c>
      <c r="P51" s="2">
        <f t="shared" si="1"/>
        <v>0.94444444444444442</v>
      </c>
      <c r="Q51" s="2">
        <f t="shared" si="2"/>
        <v>0.88461538461538458</v>
      </c>
    </row>
    <row r="52" spans="1:17">
      <c r="A52" t="s">
        <v>119</v>
      </c>
      <c r="B52" t="s">
        <v>120</v>
      </c>
      <c r="C52" t="s">
        <v>92</v>
      </c>
      <c r="D52">
        <v>10</v>
      </c>
      <c r="E52">
        <v>9</v>
      </c>
      <c r="F52">
        <v>12</v>
      </c>
      <c r="G52">
        <v>8</v>
      </c>
      <c r="H52">
        <v>8</v>
      </c>
      <c r="I52">
        <v>8</v>
      </c>
      <c r="J52">
        <v>14</v>
      </c>
      <c r="K52">
        <v>13</v>
      </c>
      <c r="L52" s="1">
        <f t="shared" si="0"/>
        <v>18</v>
      </c>
      <c r="M52" s="1">
        <f t="shared" si="0"/>
        <v>17</v>
      </c>
      <c r="N52">
        <f t="shared" si="0"/>
        <v>26</v>
      </c>
      <c r="O52">
        <f t="shared" si="0"/>
        <v>21</v>
      </c>
      <c r="P52" s="2">
        <f t="shared" si="1"/>
        <v>0.94444444444444442</v>
      </c>
      <c r="Q52" s="2">
        <f t="shared" si="2"/>
        <v>0.80769230769230771</v>
      </c>
    </row>
    <row r="53" spans="1:17">
      <c r="A53" t="s">
        <v>121</v>
      </c>
      <c r="B53" t="s">
        <v>122</v>
      </c>
      <c r="C53" t="s">
        <v>92</v>
      </c>
      <c r="D53">
        <v>10</v>
      </c>
      <c r="E53">
        <v>8</v>
      </c>
      <c r="F53">
        <v>12</v>
      </c>
      <c r="G53">
        <v>10</v>
      </c>
      <c r="L53" s="1">
        <f t="shared" si="0"/>
        <v>10</v>
      </c>
      <c r="M53" s="1">
        <f t="shared" si="0"/>
        <v>8</v>
      </c>
      <c r="N53">
        <f t="shared" si="0"/>
        <v>12</v>
      </c>
      <c r="O53">
        <f t="shared" si="0"/>
        <v>10</v>
      </c>
      <c r="P53" s="2">
        <f t="shared" si="1"/>
        <v>0.8</v>
      </c>
      <c r="Q53" s="2">
        <f t="shared" si="2"/>
        <v>0.83333333333333337</v>
      </c>
    </row>
    <row r="54" spans="1:17">
      <c r="A54" t="s">
        <v>123</v>
      </c>
      <c r="B54" t="s">
        <v>124</v>
      </c>
      <c r="C54" t="s">
        <v>92</v>
      </c>
      <c r="D54">
        <v>10</v>
      </c>
      <c r="E54">
        <v>9</v>
      </c>
      <c r="F54">
        <v>12</v>
      </c>
      <c r="G54">
        <v>12</v>
      </c>
      <c r="H54">
        <v>8</v>
      </c>
      <c r="I54">
        <v>8</v>
      </c>
      <c r="J54">
        <v>14</v>
      </c>
      <c r="K54">
        <v>13</v>
      </c>
      <c r="L54" s="1">
        <f t="shared" si="0"/>
        <v>18</v>
      </c>
      <c r="M54" s="1">
        <f t="shared" si="0"/>
        <v>17</v>
      </c>
      <c r="N54">
        <f t="shared" si="0"/>
        <v>26</v>
      </c>
      <c r="O54">
        <f t="shared" si="0"/>
        <v>25</v>
      </c>
      <c r="P54" s="2">
        <f t="shared" si="1"/>
        <v>0.94444444444444442</v>
      </c>
      <c r="Q54" s="2">
        <f t="shared" si="2"/>
        <v>0.96153846153846156</v>
      </c>
    </row>
    <row r="55" spans="1:17">
      <c r="A55" t="s">
        <v>125</v>
      </c>
      <c r="B55" t="s">
        <v>126</v>
      </c>
      <c r="C55" t="s">
        <v>92</v>
      </c>
      <c r="D55">
        <v>10</v>
      </c>
      <c r="E55">
        <v>10</v>
      </c>
      <c r="F55">
        <v>12</v>
      </c>
      <c r="G55">
        <v>10</v>
      </c>
      <c r="H55">
        <v>8</v>
      </c>
      <c r="I55">
        <v>8</v>
      </c>
      <c r="J55">
        <v>14</v>
      </c>
      <c r="K55">
        <v>13</v>
      </c>
      <c r="L55" s="1">
        <f t="shared" si="0"/>
        <v>18</v>
      </c>
      <c r="M55" s="1">
        <f t="shared" si="0"/>
        <v>18</v>
      </c>
      <c r="N55">
        <f t="shared" si="0"/>
        <v>26</v>
      </c>
      <c r="O55">
        <f t="shared" si="0"/>
        <v>23</v>
      </c>
      <c r="P55" s="2">
        <f t="shared" si="1"/>
        <v>1</v>
      </c>
      <c r="Q55" s="2">
        <f t="shared" si="2"/>
        <v>0.88461538461538458</v>
      </c>
    </row>
    <row r="56" spans="1:17">
      <c r="A56" t="s">
        <v>127</v>
      </c>
      <c r="B56" t="s">
        <v>128</v>
      </c>
      <c r="C56" t="s">
        <v>92</v>
      </c>
      <c r="D56">
        <v>10</v>
      </c>
      <c r="E56">
        <v>10</v>
      </c>
      <c r="F56">
        <v>12</v>
      </c>
      <c r="G56">
        <v>12</v>
      </c>
      <c r="H56">
        <v>8</v>
      </c>
      <c r="I56">
        <v>8</v>
      </c>
      <c r="J56">
        <v>14</v>
      </c>
      <c r="K56">
        <v>14</v>
      </c>
      <c r="L56" s="1">
        <f t="shared" si="0"/>
        <v>18</v>
      </c>
      <c r="M56" s="1">
        <f t="shared" si="0"/>
        <v>18</v>
      </c>
      <c r="N56">
        <f t="shared" si="0"/>
        <v>26</v>
      </c>
      <c r="O56">
        <f t="shared" si="0"/>
        <v>26</v>
      </c>
      <c r="P56" s="2">
        <f t="shared" si="1"/>
        <v>1</v>
      </c>
      <c r="Q56" s="2">
        <f t="shared" si="2"/>
        <v>1</v>
      </c>
    </row>
    <row r="57" spans="1:17">
      <c r="A57" t="s">
        <v>129</v>
      </c>
      <c r="B57" t="s">
        <v>130</v>
      </c>
      <c r="C57" t="s">
        <v>92</v>
      </c>
      <c r="D57">
        <v>10</v>
      </c>
      <c r="E57">
        <v>9</v>
      </c>
      <c r="F57">
        <v>12</v>
      </c>
      <c r="G57">
        <v>12</v>
      </c>
      <c r="H57">
        <v>8</v>
      </c>
      <c r="I57">
        <v>8</v>
      </c>
      <c r="J57">
        <v>14</v>
      </c>
      <c r="K57">
        <v>13</v>
      </c>
      <c r="L57" s="1">
        <f t="shared" si="0"/>
        <v>18</v>
      </c>
      <c r="M57" s="1">
        <f t="shared" si="0"/>
        <v>17</v>
      </c>
      <c r="N57">
        <f t="shared" si="0"/>
        <v>26</v>
      </c>
      <c r="O57">
        <f t="shared" si="0"/>
        <v>25</v>
      </c>
      <c r="P57" s="2">
        <f t="shared" si="1"/>
        <v>0.94444444444444442</v>
      </c>
      <c r="Q57" s="2">
        <f t="shared" si="2"/>
        <v>0.96153846153846156</v>
      </c>
    </row>
    <row r="58" spans="1:17">
      <c r="A58" t="s">
        <v>131</v>
      </c>
      <c r="B58" t="s">
        <v>132</v>
      </c>
      <c r="C58" t="s">
        <v>92</v>
      </c>
      <c r="D58">
        <v>10</v>
      </c>
      <c r="E58">
        <v>2</v>
      </c>
      <c r="F58">
        <v>12</v>
      </c>
      <c r="G58">
        <v>0</v>
      </c>
      <c r="H58">
        <v>8</v>
      </c>
      <c r="I58">
        <v>3</v>
      </c>
      <c r="J58">
        <v>14</v>
      </c>
      <c r="K58">
        <v>2</v>
      </c>
      <c r="L58" s="1">
        <f t="shared" si="0"/>
        <v>18</v>
      </c>
      <c r="M58" s="1">
        <f t="shared" si="0"/>
        <v>5</v>
      </c>
      <c r="N58">
        <f t="shared" si="0"/>
        <v>26</v>
      </c>
      <c r="O58">
        <f t="shared" si="0"/>
        <v>2</v>
      </c>
      <c r="P58" s="2">
        <f t="shared" si="1"/>
        <v>0.27777777777777779</v>
      </c>
      <c r="Q58" s="2">
        <f t="shared" si="2"/>
        <v>7.6923076923076927E-2</v>
      </c>
    </row>
    <row r="59" spans="1:17">
      <c r="A59" t="s">
        <v>133</v>
      </c>
      <c r="B59" t="s">
        <v>134</v>
      </c>
      <c r="C59" t="s">
        <v>92</v>
      </c>
      <c r="D59">
        <v>10</v>
      </c>
      <c r="E59">
        <v>8</v>
      </c>
      <c r="F59">
        <v>12</v>
      </c>
      <c r="G59">
        <v>3</v>
      </c>
      <c r="H59">
        <v>8</v>
      </c>
      <c r="I59">
        <v>6</v>
      </c>
      <c r="J59">
        <v>14</v>
      </c>
      <c r="K59">
        <v>5</v>
      </c>
      <c r="L59" s="1">
        <f t="shared" si="0"/>
        <v>18</v>
      </c>
      <c r="M59" s="1">
        <f t="shared" si="0"/>
        <v>14</v>
      </c>
      <c r="N59">
        <f t="shared" si="0"/>
        <v>26</v>
      </c>
      <c r="O59">
        <f t="shared" si="0"/>
        <v>8</v>
      </c>
      <c r="P59" s="2">
        <f t="shared" si="1"/>
        <v>0.77777777777777779</v>
      </c>
      <c r="Q59" s="2">
        <f t="shared" si="2"/>
        <v>0.30769230769230771</v>
      </c>
    </row>
    <row r="60" spans="1:17">
      <c r="A60" t="s">
        <v>135</v>
      </c>
      <c r="B60" t="s">
        <v>136</v>
      </c>
      <c r="C60" t="s">
        <v>92</v>
      </c>
      <c r="D60">
        <v>10</v>
      </c>
      <c r="E60">
        <v>10</v>
      </c>
      <c r="F60">
        <v>12</v>
      </c>
      <c r="G60">
        <v>12</v>
      </c>
      <c r="H60">
        <v>8</v>
      </c>
      <c r="I60">
        <v>8</v>
      </c>
      <c r="J60">
        <v>14</v>
      </c>
      <c r="K60">
        <v>14</v>
      </c>
      <c r="L60" s="1">
        <f t="shared" si="0"/>
        <v>18</v>
      </c>
      <c r="M60" s="1">
        <f t="shared" si="0"/>
        <v>18</v>
      </c>
      <c r="N60">
        <f t="shared" si="0"/>
        <v>26</v>
      </c>
      <c r="O60">
        <f t="shared" si="0"/>
        <v>26</v>
      </c>
      <c r="P60" s="2">
        <f t="shared" si="1"/>
        <v>1</v>
      </c>
      <c r="Q60" s="2">
        <f t="shared" si="2"/>
        <v>1</v>
      </c>
    </row>
    <row r="61" spans="1:17">
      <c r="A61" t="s">
        <v>137</v>
      </c>
      <c r="B61" t="s">
        <v>138</v>
      </c>
      <c r="C61" t="s">
        <v>92</v>
      </c>
      <c r="D61">
        <v>10</v>
      </c>
      <c r="E61">
        <v>9</v>
      </c>
      <c r="F61">
        <v>12</v>
      </c>
      <c r="G61">
        <v>9</v>
      </c>
      <c r="H61">
        <v>8</v>
      </c>
      <c r="I61">
        <v>8</v>
      </c>
      <c r="J61">
        <v>14</v>
      </c>
      <c r="K61">
        <v>14</v>
      </c>
      <c r="L61" s="1">
        <f t="shared" si="0"/>
        <v>18</v>
      </c>
      <c r="M61" s="1">
        <f t="shared" si="0"/>
        <v>17</v>
      </c>
      <c r="N61">
        <f t="shared" si="0"/>
        <v>26</v>
      </c>
      <c r="O61">
        <f t="shared" si="0"/>
        <v>23</v>
      </c>
      <c r="P61" s="2">
        <f t="shared" si="1"/>
        <v>0.94444444444444442</v>
      </c>
      <c r="Q61" s="2">
        <f t="shared" si="2"/>
        <v>0.88461538461538458</v>
      </c>
    </row>
    <row r="62" spans="1:17">
      <c r="A62" t="s">
        <v>139</v>
      </c>
      <c r="B62" t="s">
        <v>140</v>
      </c>
      <c r="C62" t="s">
        <v>92</v>
      </c>
      <c r="D62">
        <v>10</v>
      </c>
      <c r="E62">
        <v>9</v>
      </c>
      <c r="F62">
        <v>12</v>
      </c>
      <c r="G62">
        <v>9</v>
      </c>
      <c r="H62">
        <v>8</v>
      </c>
      <c r="I62">
        <v>8</v>
      </c>
      <c r="J62">
        <v>14</v>
      </c>
      <c r="K62">
        <v>14</v>
      </c>
      <c r="L62" s="1">
        <f t="shared" si="0"/>
        <v>18</v>
      </c>
      <c r="M62" s="1">
        <f t="shared" si="0"/>
        <v>17</v>
      </c>
      <c r="N62">
        <f t="shared" si="0"/>
        <v>26</v>
      </c>
      <c r="O62">
        <f t="shared" si="0"/>
        <v>23</v>
      </c>
      <c r="P62" s="2">
        <f t="shared" si="1"/>
        <v>0.94444444444444442</v>
      </c>
      <c r="Q62" s="2">
        <f t="shared" si="2"/>
        <v>0.88461538461538458</v>
      </c>
    </row>
    <row r="63" spans="1:17">
      <c r="A63" t="s">
        <v>141</v>
      </c>
      <c r="B63" t="s">
        <v>142</v>
      </c>
      <c r="C63" t="s">
        <v>92</v>
      </c>
      <c r="D63">
        <v>10</v>
      </c>
      <c r="E63">
        <v>8</v>
      </c>
      <c r="F63">
        <v>12</v>
      </c>
      <c r="G63">
        <v>11</v>
      </c>
      <c r="H63">
        <v>8</v>
      </c>
      <c r="I63">
        <v>8</v>
      </c>
      <c r="J63">
        <v>14</v>
      </c>
      <c r="K63">
        <v>12</v>
      </c>
      <c r="L63" s="1">
        <f t="shared" si="0"/>
        <v>18</v>
      </c>
      <c r="M63" s="1">
        <f t="shared" si="0"/>
        <v>16</v>
      </c>
      <c r="N63">
        <f t="shared" si="0"/>
        <v>26</v>
      </c>
      <c r="O63">
        <f t="shared" si="0"/>
        <v>23</v>
      </c>
      <c r="P63" s="2">
        <f t="shared" si="1"/>
        <v>0.88888888888888884</v>
      </c>
      <c r="Q63" s="2">
        <f t="shared" si="2"/>
        <v>0.88461538461538458</v>
      </c>
    </row>
    <row r="64" spans="1:17">
      <c r="A64" t="s">
        <v>143</v>
      </c>
      <c r="B64" t="s">
        <v>144</v>
      </c>
      <c r="C64" t="s">
        <v>92</v>
      </c>
      <c r="D64">
        <v>10</v>
      </c>
      <c r="E64">
        <v>9</v>
      </c>
      <c r="F64">
        <v>12</v>
      </c>
      <c r="G64">
        <v>8</v>
      </c>
      <c r="H64">
        <v>8</v>
      </c>
      <c r="I64">
        <v>6</v>
      </c>
      <c r="J64">
        <v>14</v>
      </c>
      <c r="K64">
        <v>12</v>
      </c>
      <c r="L64" s="1">
        <f t="shared" si="0"/>
        <v>18</v>
      </c>
      <c r="M64" s="1">
        <f t="shared" si="0"/>
        <v>15</v>
      </c>
      <c r="N64">
        <f t="shared" si="0"/>
        <v>26</v>
      </c>
      <c r="O64">
        <f t="shared" si="0"/>
        <v>20</v>
      </c>
      <c r="P64" s="2">
        <f t="shared" si="1"/>
        <v>0.83333333333333337</v>
      </c>
      <c r="Q64" s="2">
        <f t="shared" si="2"/>
        <v>0.76923076923076927</v>
      </c>
    </row>
    <row r="65" spans="1:17">
      <c r="A65" t="s">
        <v>145</v>
      </c>
      <c r="B65" t="s">
        <v>146</v>
      </c>
      <c r="C65" t="s">
        <v>92</v>
      </c>
      <c r="D65">
        <v>10</v>
      </c>
      <c r="E65">
        <v>6</v>
      </c>
      <c r="F65">
        <v>12</v>
      </c>
      <c r="G65">
        <v>8</v>
      </c>
      <c r="H65">
        <v>8</v>
      </c>
      <c r="I65">
        <v>6</v>
      </c>
      <c r="J65">
        <v>14</v>
      </c>
      <c r="K65">
        <v>9</v>
      </c>
      <c r="L65" s="1">
        <f t="shared" si="0"/>
        <v>18</v>
      </c>
      <c r="M65" s="1">
        <f t="shared" si="0"/>
        <v>12</v>
      </c>
      <c r="N65">
        <f t="shared" si="0"/>
        <v>26</v>
      </c>
      <c r="O65">
        <f t="shared" si="0"/>
        <v>17</v>
      </c>
      <c r="P65" s="2">
        <f t="shared" si="1"/>
        <v>0.66666666666666663</v>
      </c>
      <c r="Q65" s="2">
        <f t="shared" si="2"/>
        <v>0.65384615384615385</v>
      </c>
    </row>
    <row r="66" spans="1:17">
      <c r="A66" t="s">
        <v>147</v>
      </c>
      <c r="B66" t="s">
        <v>148</v>
      </c>
      <c r="C66" t="s">
        <v>92</v>
      </c>
      <c r="D66">
        <v>10</v>
      </c>
      <c r="E66">
        <v>8</v>
      </c>
      <c r="F66">
        <v>12</v>
      </c>
      <c r="G66">
        <v>12</v>
      </c>
      <c r="H66">
        <v>8</v>
      </c>
      <c r="I66">
        <v>8</v>
      </c>
      <c r="J66">
        <v>14</v>
      </c>
      <c r="K66">
        <v>14</v>
      </c>
      <c r="L66" s="1">
        <f t="shared" si="0"/>
        <v>18</v>
      </c>
      <c r="M66" s="1">
        <f t="shared" si="0"/>
        <v>16</v>
      </c>
      <c r="N66">
        <f t="shared" si="0"/>
        <v>26</v>
      </c>
      <c r="O66">
        <f t="shared" ref="O66:O129" si="3">G66+K66</f>
        <v>26</v>
      </c>
      <c r="P66" s="2">
        <f t="shared" si="1"/>
        <v>0.88888888888888884</v>
      </c>
      <c r="Q66" s="2">
        <f t="shared" si="2"/>
        <v>1</v>
      </c>
    </row>
    <row r="67" spans="1:17">
      <c r="A67" t="s">
        <v>149</v>
      </c>
      <c r="B67" t="s">
        <v>150</v>
      </c>
      <c r="C67" t="s">
        <v>92</v>
      </c>
      <c r="D67">
        <v>10</v>
      </c>
      <c r="E67">
        <v>9</v>
      </c>
      <c r="F67">
        <v>12</v>
      </c>
      <c r="G67">
        <v>9</v>
      </c>
      <c r="H67">
        <v>8</v>
      </c>
      <c r="I67">
        <v>5</v>
      </c>
      <c r="J67">
        <v>14</v>
      </c>
      <c r="K67">
        <v>10</v>
      </c>
      <c r="L67" s="1">
        <f t="shared" ref="L67:N71" si="4">D67+H67</f>
        <v>18</v>
      </c>
      <c r="M67" s="1">
        <f t="shared" si="4"/>
        <v>14</v>
      </c>
      <c r="N67">
        <f t="shared" si="4"/>
        <v>26</v>
      </c>
      <c r="O67">
        <f t="shared" si="3"/>
        <v>19</v>
      </c>
      <c r="P67" s="2">
        <f t="shared" ref="P67:P71" si="5">M67/L67</f>
        <v>0.77777777777777779</v>
      </c>
      <c r="Q67" s="2">
        <f t="shared" ref="Q67:Q71" si="6">O67/N67</f>
        <v>0.73076923076923073</v>
      </c>
    </row>
    <row r="68" spans="1:17">
      <c r="A68" t="s">
        <v>151</v>
      </c>
      <c r="B68" t="s">
        <v>152</v>
      </c>
      <c r="C68" t="s">
        <v>92</v>
      </c>
      <c r="D68">
        <v>10</v>
      </c>
      <c r="E68">
        <v>9</v>
      </c>
      <c r="F68">
        <v>12</v>
      </c>
      <c r="G68">
        <v>11</v>
      </c>
      <c r="H68">
        <v>8</v>
      </c>
      <c r="I68">
        <v>7</v>
      </c>
      <c r="J68">
        <v>14</v>
      </c>
      <c r="K68">
        <v>14</v>
      </c>
      <c r="L68" s="1">
        <f t="shared" si="4"/>
        <v>18</v>
      </c>
      <c r="M68" s="1">
        <f t="shared" si="4"/>
        <v>16</v>
      </c>
      <c r="N68">
        <f t="shared" si="4"/>
        <v>26</v>
      </c>
      <c r="O68">
        <f t="shared" si="3"/>
        <v>25</v>
      </c>
      <c r="P68" s="2">
        <f t="shared" si="5"/>
        <v>0.88888888888888884</v>
      </c>
      <c r="Q68" s="2">
        <f t="shared" si="6"/>
        <v>0.96153846153846156</v>
      </c>
    </row>
    <row r="69" spans="1:17">
      <c r="A69" t="s">
        <v>153</v>
      </c>
      <c r="B69" t="s">
        <v>154</v>
      </c>
      <c r="C69" t="s">
        <v>92</v>
      </c>
      <c r="D69">
        <v>10</v>
      </c>
      <c r="E69">
        <v>9</v>
      </c>
      <c r="F69">
        <v>12</v>
      </c>
      <c r="G69">
        <v>12</v>
      </c>
      <c r="H69">
        <v>8</v>
      </c>
      <c r="I69">
        <v>8</v>
      </c>
      <c r="J69">
        <v>14</v>
      </c>
      <c r="K69">
        <v>14</v>
      </c>
      <c r="L69" s="1">
        <f t="shared" si="4"/>
        <v>18</v>
      </c>
      <c r="M69" s="1">
        <f t="shared" si="4"/>
        <v>17</v>
      </c>
      <c r="N69">
        <f t="shared" si="4"/>
        <v>26</v>
      </c>
      <c r="O69">
        <f t="shared" si="3"/>
        <v>26</v>
      </c>
      <c r="P69" s="2">
        <f t="shared" si="5"/>
        <v>0.94444444444444442</v>
      </c>
      <c r="Q69" s="2">
        <f t="shared" si="6"/>
        <v>1</v>
      </c>
    </row>
    <row r="70" spans="1:17">
      <c r="A70" t="s">
        <v>155</v>
      </c>
      <c r="B70" t="s">
        <v>156</v>
      </c>
      <c r="C70" t="s">
        <v>92</v>
      </c>
      <c r="D70">
        <v>10</v>
      </c>
      <c r="E70">
        <v>10</v>
      </c>
      <c r="F70">
        <v>12</v>
      </c>
      <c r="G70">
        <v>11</v>
      </c>
      <c r="H70">
        <v>8</v>
      </c>
      <c r="I70">
        <v>8</v>
      </c>
      <c r="J70">
        <v>14</v>
      </c>
      <c r="K70">
        <v>14</v>
      </c>
      <c r="L70" s="1">
        <f t="shared" si="4"/>
        <v>18</v>
      </c>
      <c r="M70" s="1">
        <f t="shared" si="4"/>
        <v>18</v>
      </c>
      <c r="N70">
        <f t="shared" si="4"/>
        <v>26</v>
      </c>
      <c r="O70">
        <f t="shared" si="3"/>
        <v>25</v>
      </c>
      <c r="P70" s="2">
        <f t="shared" si="5"/>
        <v>1</v>
      </c>
      <c r="Q70" s="2">
        <f t="shared" si="6"/>
        <v>0.96153846153846156</v>
      </c>
    </row>
    <row r="71" spans="1:17">
      <c r="A71" t="s">
        <v>157</v>
      </c>
      <c r="B71" t="s">
        <v>158</v>
      </c>
      <c r="C71" t="s">
        <v>19</v>
      </c>
      <c r="D71">
        <v>10</v>
      </c>
      <c r="E71">
        <v>8</v>
      </c>
      <c r="F71">
        <v>12</v>
      </c>
      <c r="G71">
        <v>6</v>
      </c>
      <c r="H71">
        <v>8</v>
      </c>
      <c r="I71">
        <v>8</v>
      </c>
      <c r="J71">
        <v>14</v>
      </c>
      <c r="K71">
        <v>12</v>
      </c>
      <c r="L71" s="1">
        <f t="shared" si="4"/>
        <v>18</v>
      </c>
      <c r="M71" s="1">
        <f t="shared" si="4"/>
        <v>16</v>
      </c>
      <c r="N71">
        <f t="shared" si="4"/>
        <v>26</v>
      </c>
      <c r="O71">
        <f t="shared" si="3"/>
        <v>18</v>
      </c>
      <c r="P71" s="2">
        <f t="shared" si="5"/>
        <v>0.88888888888888884</v>
      </c>
      <c r="Q71" s="2">
        <f t="shared" si="6"/>
        <v>0.69230769230769229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lzz</dc:creator>
  <cp:lastModifiedBy>lzz</cp:lastModifiedBy>
  <dcterms:created xsi:type="dcterms:W3CDTF">2026-06-02T04:37:31Z</dcterms:created>
  <dcterms:modified xsi:type="dcterms:W3CDTF">2026-06-02T05:31:49Z</dcterms:modified>
</cp:coreProperties>
</file>