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zz/Downloads/"/>
    </mc:Choice>
  </mc:AlternateContent>
  <xr:revisionPtr revIDLastSave="0" documentId="8_{8D31E916-DA50-8445-A0F0-755D631F020F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data" sheetId="9" r:id="rId1"/>
    <sheet name="pivot" sheetId="3" r:id="rId2"/>
    <sheet name="formula" sheetId="2" r:id="rId3"/>
    <sheet name="157" sheetId="4" r:id="rId4"/>
    <sheet name="outlier" sheetId="8" r:id="rId5"/>
    <sheet name="wjx" sheetId="1" r:id="rId6"/>
    <sheet name="dummy" sheetId="11" r:id="rId7"/>
    <sheet name="regression" sheetId="10" r:id="rId8"/>
  </sheets>
  <definedNames>
    <definedName name="_xlnm._FilterDatabase" localSheetId="3" hidden="1">'157'!$A$1:$O$159</definedName>
    <definedName name="_xlnm._FilterDatabase" localSheetId="2" hidden="1">formula!$A$1:$O$158</definedName>
    <definedName name="_xlnm._FilterDatabase" localSheetId="4" hidden="1">outlier!$A$1:$O$143</definedName>
  </definedNames>
  <calcPr calcId="191029"/>
  <pivotCaches>
    <pivotCache cacheId="0" r:id="rId9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1" l="1"/>
  <c r="H3" i="11"/>
  <c r="I3" i="11"/>
  <c r="J3" i="11"/>
  <c r="K3" i="11"/>
  <c r="G4" i="11"/>
  <c r="H4" i="11"/>
  <c r="I4" i="11"/>
  <c r="J4" i="11"/>
  <c r="K4" i="11"/>
  <c r="G5" i="11"/>
  <c r="H5" i="11"/>
  <c r="I5" i="11"/>
  <c r="J5" i="11"/>
  <c r="K5" i="11"/>
  <c r="G6" i="11"/>
  <c r="H6" i="11"/>
  <c r="I6" i="11"/>
  <c r="J6" i="11"/>
  <c r="K6" i="11"/>
  <c r="G7" i="11"/>
  <c r="H7" i="11"/>
  <c r="I7" i="11"/>
  <c r="J7" i="11"/>
  <c r="K7" i="11"/>
  <c r="G8" i="11"/>
  <c r="H8" i="11"/>
  <c r="I8" i="11"/>
  <c r="J8" i="11"/>
  <c r="K8" i="11"/>
  <c r="G9" i="11"/>
  <c r="H9" i="11"/>
  <c r="I9" i="11"/>
  <c r="J9" i="11"/>
  <c r="K9" i="11"/>
  <c r="G10" i="11"/>
  <c r="H10" i="11"/>
  <c r="I10" i="11"/>
  <c r="J10" i="11"/>
  <c r="K10" i="11"/>
  <c r="G11" i="11"/>
  <c r="H11" i="11"/>
  <c r="I11" i="11"/>
  <c r="J11" i="11"/>
  <c r="K11" i="11"/>
  <c r="G12" i="11"/>
  <c r="H12" i="11"/>
  <c r="I12" i="11"/>
  <c r="J12" i="11"/>
  <c r="K12" i="11"/>
  <c r="G13" i="11"/>
  <c r="H13" i="11"/>
  <c r="I13" i="11"/>
  <c r="J13" i="11"/>
  <c r="K13" i="11"/>
  <c r="G14" i="11"/>
  <c r="H14" i="11"/>
  <c r="I14" i="11"/>
  <c r="J14" i="11"/>
  <c r="K14" i="11"/>
  <c r="G15" i="11"/>
  <c r="H15" i="11"/>
  <c r="I15" i="11"/>
  <c r="J15" i="11"/>
  <c r="K15" i="11"/>
  <c r="G16" i="11"/>
  <c r="H16" i="11"/>
  <c r="I16" i="11"/>
  <c r="J16" i="11"/>
  <c r="K16" i="11"/>
  <c r="G17" i="11"/>
  <c r="H17" i="11"/>
  <c r="I17" i="11"/>
  <c r="J17" i="11"/>
  <c r="K17" i="11"/>
  <c r="G18" i="11"/>
  <c r="H18" i="11"/>
  <c r="I18" i="11"/>
  <c r="J18" i="11"/>
  <c r="K18" i="11"/>
  <c r="G19" i="11"/>
  <c r="H19" i="11"/>
  <c r="I19" i="11"/>
  <c r="J19" i="11"/>
  <c r="K19" i="11"/>
  <c r="G20" i="11"/>
  <c r="H20" i="11"/>
  <c r="I20" i="11"/>
  <c r="J20" i="11"/>
  <c r="K20" i="11"/>
  <c r="G21" i="11"/>
  <c r="H21" i="11"/>
  <c r="I21" i="11"/>
  <c r="J21" i="11"/>
  <c r="K21" i="11"/>
  <c r="G22" i="11"/>
  <c r="H22" i="11"/>
  <c r="I22" i="11"/>
  <c r="J22" i="11"/>
  <c r="K22" i="11"/>
  <c r="G23" i="11"/>
  <c r="H23" i="11"/>
  <c r="I23" i="11"/>
  <c r="J23" i="11"/>
  <c r="K23" i="11"/>
  <c r="G24" i="11"/>
  <c r="H24" i="11"/>
  <c r="I24" i="11"/>
  <c r="J24" i="11"/>
  <c r="K24" i="11"/>
  <c r="G25" i="11"/>
  <c r="H25" i="11"/>
  <c r="I25" i="11"/>
  <c r="J25" i="11"/>
  <c r="K25" i="11"/>
  <c r="G26" i="11"/>
  <c r="H26" i="11"/>
  <c r="I26" i="11"/>
  <c r="J26" i="11"/>
  <c r="K26" i="11"/>
  <c r="G27" i="11"/>
  <c r="H27" i="11"/>
  <c r="I27" i="11"/>
  <c r="J27" i="11"/>
  <c r="K27" i="11"/>
  <c r="G28" i="11"/>
  <c r="H28" i="11"/>
  <c r="I28" i="11"/>
  <c r="J28" i="11"/>
  <c r="K28" i="11"/>
  <c r="G29" i="11"/>
  <c r="H29" i="11"/>
  <c r="I29" i="11"/>
  <c r="J29" i="11"/>
  <c r="K29" i="11"/>
  <c r="G30" i="11"/>
  <c r="H30" i="11"/>
  <c r="I30" i="11"/>
  <c r="J30" i="11"/>
  <c r="K30" i="11"/>
  <c r="G31" i="11"/>
  <c r="H31" i="11"/>
  <c r="I31" i="11"/>
  <c r="J31" i="11"/>
  <c r="K31" i="11"/>
  <c r="G32" i="11"/>
  <c r="H32" i="11"/>
  <c r="I32" i="11"/>
  <c r="J32" i="11"/>
  <c r="K32" i="11"/>
  <c r="G33" i="11"/>
  <c r="H33" i="11"/>
  <c r="I33" i="11"/>
  <c r="J33" i="11"/>
  <c r="K33" i="11"/>
  <c r="G34" i="11"/>
  <c r="H34" i="11"/>
  <c r="I34" i="11"/>
  <c r="J34" i="11"/>
  <c r="K34" i="11"/>
  <c r="G35" i="11"/>
  <c r="H35" i="11"/>
  <c r="I35" i="11"/>
  <c r="J35" i="11"/>
  <c r="K35" i="11"/>
  <c r="G36" i="11"/>
  <c r="H36" i="11"/>
  <c r="I36" i="11"/>
  <c r="J36" i="11"/>
  <c r="K36" i="11"/>
  <c r="G37" i="11"/>
  <c r="H37" i="11"/>
  <c r="I37" i="11"/>
  <c r="J37" i="11"/>
  <c r="K37" i="11"/>
  <c r="G38" i="11"/>
  <c r="H38" i="11"/>
  <c r="I38" i="11"/>
  <c r="J38" i="11"/>
  <c r="K38" i="11"/>
  <c r="G39" i="11"/>
  <c r="H39" i="11"/>
  <c r="I39" i="11"/>
  <c r="J39" i="11"/>
  <c r="K39" i="11"/>
  <c r="G40" i="11"/>
  <c r="H40" i="11"/>
  <c r="I40" i="11"/>
  <c r="J40" i="11"/>
  <c r="K40" i="11"/>
  <c r="G41" i="11"/>
  <c r="H41" i="11"/>
  <c r="I41" i="11"/>
  <c r="J41" i="11"/>
  <c r="K41" i="11"/>
  <c r="G42" i="11"/>
  <c r="H42" i="11"/>
  <c r="I42" i="11"/>
  <c r="J42" i="11"/>
  <c r="K42" i="11"/>
  <c r="G43" i="11"/>
  <c r="H43" i="11"/>
  <c r="I43" i="11"/>
  <c r="J43" i="11"/>
  <c r="K43" i="11"/>
  <c r="G44" i="11"/>
  <c r="H44" i="11"/>
  <c r="I44" i="11"/>
  <c r="J44" i="11"/>
  <c r="K44" i="11"/>
  <c r="G45" i="11"/>
  <c r="H45" i="11"/>
  <c r="I45" i="11"/>
  <c r="J45" i="11"/>
  <c r="K45" i="11"/>
  <c r="G46" i="11"/>
  <c r="H46" i="11"/>
  <c r="I46" i="11"/>
  <c r="J46" i="11"/>
  <c r="K46" i="11"/>
  <c r="G47" i="11"/>
  <c r="H47" i="11"/>
  <c r="I47" i="11"/>
  <c r="J47" i="11"/>
  <c r="K47" i="11"/>
  <c r="G48" i="11"/>
  <c r="H48" i="11"/>
  <c r="I48" i="11"/>
  <c r="J48" i="11"/>
  <c r="K48" i="11"/>
  <c r="G49" i="11"/>
  <c r="H49" i="11"/>
  <c r="I49" i="11"/>
  <c r="J49" i="11"/>
  <c r="K49" i="11"/>
  <c r="G50" i="11"/>
  <c r="H50" i="11"/>
  <c r="I50" i="11"/>
  <c r="J50" i="11"/>
  <c r="K50" i="11"/>
  <c r="G51" i="11"/>
  <c r="H51" i="11"/>
  <c r="I51" i="11"/>
  <c r="J51" i="11"/>
  <c r="K51" i="11"/>
  <c r="G52" i="11"/>
  <c r="H52" i="11"/>
  <c r="I52" i="11"/>
  <c r="J52" i="11"/>
  <c r="K52" i="11"/>
  <c r="G53" i="11"/>
  <c r="H53" i="11"/>
  <c r="I53" i="11"/>
  <c r="J53" i="11"/>
  <c r="K53" i="11"/>
  <c r="G54" i="11"/>
  <c r="H54" i="11"/>
  <c r="I54" i="11"/>
  <c r="J54" i="11"/>
  <c r="K54" i="11"/>
  <c r="G55" i="11"/>
  <c r="H55" i="11"/>
  <c r="I55" i="11"/>
  <c r="J55" i="11"/>
  <c r="K55" i="11"/>
  <c r="G56" i="11"/>
  <c r="H56" i="11"/>
  <c r="I56" i="11"/>
  <c r="J56" i="11"/>
  <c r="K56" i="11"/>
  <c r="G57" i="11"/>
  <c r="H57" i="11"/>
  <c r="I57" i="11"/>
  <c r="J57" i="11"/>
  <c r="K57" i="11"/>
  <c r="G58" i="11"/>
  <c r="H58" i="11"/>
  <c r="I58" i="11"/>
  <c r="J58" i="11"/>
  <c r="K58" i="11"/>
  <c r="G59" i="11"/>
  <c r="H59" i="11"/>
  <c r="I59" i="11"/>
  <c r="J59" i="11"/>
  <c r="K59" i="11"/>
  <c r="G60" i="11"/>
  <c r="H60" i="11"/>
  <c r="I60" i="11"/>
  <c r="J60" i="11"/>
  <c r="K60" i="11"/>
  <c r="G61" i="11"/>
  <c r="H61" i="11"/>
  <c r="I61" i="11"/>
  <c r="J61" i="11"/>
  <c r="K61" i="11"/>
  <c r="G62" i="11"/>
  <c r="H62" i="11"/>
  <c r="I62" i="11"/>
  <c r="J62" i="11"/>
  <c r="K62" i="11"/>
  <c r="G63" i="11"/>
  <c r="H63" i="11"/>
  <c r="I63" i="11"/>
  <c r="J63" i="11"/>
  <c r="K63" i="11"/>
  <c r="G64" i="11"/>
  <c r="H64" i="11"/>
  <c r="I64" i="11"/>
  <c r="J64" i="11"/>
  <c r="K64" i="11"/>
  <c r="G65" i="11"/>
  <c r="H65" i="11"/>
  <c r="I65" i="11"/>
  <c r="J65" i="11"/>
  <c r="K65" i="11"/>
  <c r="G66" i="11"/>
  <c r="H66" i="11"/>
  <c r="I66" i="11"/>
  <c r="J66" i="11"/>
  <c r="K66" i="11"/>
  <c r="G67" i="11"/>
  <c r="H67" i="11"/>
  <c r="I67" i="11"/>
  <c r="J67" i="11"/>
  <c r="K67" i="11"/>
  <c r="G68" i="11"/>
  <c r="H68" i="11"/>
  <c r="I68" i="11"/>
  <c r="J68" i="11"/>
  <c r="K68" i="11"/>
  <c r="G69" i="11"/>
  <c r="H69" i="11"/>
  <c r="I69" i="11"/>
  <c r="J69" i="11"/>
  <c r="K69" i="11"/>
  <c r="G70" i="11"/>
  <c r="H70" i="11"/>
  <c r="I70" i="11"/>
  <c r="J70" i="11"/>
  <c r="K70" i="11"/>
  <c r="G71" i="11"/>
  <c r="H71" i="11"/>
  <c r="I71" i="11"/>
  <c r="J71" i="11"/>
  <c r="K71" i="11"/>
  <c r="G72" i="11"/>
  <c r="H72" i="11"/>
  <c r="I72" i="11"/>
  <c r="J72" i="11"/>
  <c r="K72" i="11"/>
  <c r="G73" i="11"/>
  <c r="H73" i="11"/>
  <c r="I73" i="11"/>
  <c r="J73" i="11"/>
  <c r="K73" i="11"/>
  <c r="G74" i="11"/>
  <c r="H74" i="11"/>
  <c r="I74" i="11"/>
  <c r="J74" i="11"/>
  <c r="K74" i="11"/>
  <c r="G75" i="11"/>
  <c r="H75" i="11"/>
  <c r="I75" i="11"/>
  <c r="J75" i="11"/>
  <c r="K75" i="11"/>
  <c r="G76" i="11"/>
  <c r="H76" i="11"/>
  <c r="I76" i="11"/>
  <c r="J76" i="11"/>
  <c r="K76" i="11"/>
  <c r="G77" i="11"/>
  <c r="H77" i="11"/>
  <c r="I77" i="11"/>
  <c r="J77" i="11"/>
  <c r="K77" i="11"/>
  <c r="G78" i="11"/>
  <c r="H78" i="11"/>
  <c r="I78" i="11"/>
  <c r="J78" i="11"/>
  <c r="K78" i="11"/>
  <c r="G79" i="11"/>
  <c r="H79" i="11"/>
  <c r="I79" i="11"/>
  <c r="J79" i="11"/>
  <c r="K79" i="11"/>
  <c r="G80" i="11"/>
  <c r="H80" i="11"/>
  <c r="I80" i="11"/>
  <c r="J80" i="11"/>
  <c r="K80" i="11"/>
  <c r="G81" i="11"/>
  <c r="H81" i="11"/>
  <c r="I81" i="11"/>
  <c r="J81" i="11"/>
  <c r="K81" i="11"/>
  <c r="G82" i="11"/>
  <c r="H82" i="11"/>
  <c r="I82" i="11"/>
  <c r="J82" i="11"/>
  <c r="K82" i="11"/>
  <c r="G83" i="11"/>
  <c r="H83" i="11"/>
  <c r="I83" i="11"/>
  <c r="J83" i="11"/>
  <c r="K83" i="11"/>
  <c r="G84" i="11"/>
  <c r="H84" i="11"/>
  <c r="I84" i="11"/>
  <c r="J84" i="11"/>
  <c r="K84" i="11"/>
  <c r="G85" i="11"/>
  <c r="H85" i="11"/>
  <c r="I85" i="11"/>
  <c r="J85" i="11"/>
  <c r="K85" i="11"/>
  <c r="G86" i="11"/>
  <c r="H86" i="11"/>
  <c r="I86" i="11"/>
  <c r="J86" i="11"/>
  <c r="K86" i="11"/>
  <c r="G87" i="11"/>
  <c r="H87" i="11"/>
  <c r="I87" i="11"/>
  <c r="J87" i="11"/>
  <c r="K87" i="11"/>
  <c r="G88" i="11"/>
  <c r="H88" i="11"/>
  <c r="I88" i="11"/>
  <c r="J88" i="11"/>
  <c r="K88" i="11"/>
  <c r="G89" i="11"/>
  <c r="H89" i="11"/>
  <c r="I89" i="11"/>
  <c r="J89" i="11"/>
  <c r="K89" i="11"/>
  <c r="G90" i="11"/>
  <c r="H90" i="11"/>
  <c r="I90" i="11"/>
  <c r="J90" i="11"/>
  <c r="K90" i="11"/>
  <c r="G91" i="11"/>
  <c r="H91" i="11"/>
  <c r="I91" i="11"/>
  <c r="J91" i="11"/>
  <c r="K91" i="11"/>
  <c r="G92" i="11"/>
  <c r="H92" i="11"/>
  <c r="I92" i="11"/>
  <c r="J92" i="11"/>
  <c r="K92" i="11"/>
  <c r="G93" i="11"/>
  <c r="H93" i="11"/>
  <c r="I93" i="11"/>
  <c r="J93" i="11"/>
  <c r="K93" i="11"/>
  <c r="G94" i="11"/>
  <c r="H94" i="11"/>
  <c r="I94" i="11"/>
  <c r="J94" i="11"/>
  <c r="K94" i="11"/>
  <c r="G95" i="11"/>
  <c r="H95" i="11"/>
  <c r="I95" i="11"/>
  <c r="J95" i="11"/>
  <c r="K95" i="11"/>
  <c r="G96" i="11"/>
  <c r="H96" i="11"/>
  <c r="I96" i="11"/>
  <c r="J96" i="11"/>
  <c r="K96" i="11"/>
  <c r="G97" i="11"/>
  <c r="H97" i="11"/>
  <c r="I97" i="11"/>
  <c r="J97" i="11"/>
  <c r="K97" i="11"/>
  <c r="G98" i="11"/>
  <c r="H98" i="11"/>
  <c r="I98" i="11"/>
  <c r="J98" i="11"/>
  <c r="K98" i="11"/>
  <c r="G99" i="11"/>
  <c r="H99" i="11"/>
  <c r="I99" i="11"/>
  <c r="J99" i="11"/>
  <c r="K99" i="11"/>
  <c r="G100" i="11"/>
  <c r="H100" i="11"/>
  <c r="I100" i="11"/>
  <c r="J100" i="11"/>
  <c r="K100" i="11"/>
  <c r="G101" i="11"/>
  <c r="H101" i="11"/>
  <c r="I101" i="11"/>
  <c r="J101" i="11"/>
  <c r="K101" i="11"/>
  <c r="G102" i="11"/>
  <c r="H102" i="11"/>
  <c r="I102" i="11"/>
  <c r="J102" i="11"/>
  <c r="K102" i="11"/>
  <c r="G103" i="11"/>
  <c r="H103" i="11"/>
  <c r="I103" i="11"/>
  <c r="J103" i="11"/>
  <c r="K103" i="11"/>
  <c r="G104" i="11"/>
  <c r="H104" i="11"/>
  <c r="I104" i="11"/>
  <c r="J104" i="11"/>
  <c r="K104" i="11"/>
  <c r="G105" i="11"/>
  <c r="H105" i="11"/>
  <c r="I105" i="11"/>
  <c r="J105" i="11"/>
  <c r="K105" i="11"/>
  <c r="G106" i="11"/>
  <c r="H106" i="11"/>
  <c r="I106" i="11"/>
  <c r="J106" i="11"/>
  <c r="K106" i="11"/>
  <c r="G107" i="11"/>
  <c r="H107" i="11"/>
  <c r="I107" i="11"/>
  <c r="J107" i="11"/>
  <c r="K107" i="11"/>
  <c r="G108" i="11"/>
  <c r="H108" i="11"/>
  <c r="I108" i="11"/>
  <c r="J108" i="11"/>
  <c r="K108" i="11"/>
  <c r="G109" i="11"/>
  <c r="H109" i="11"/>
  <c r="I109" i="11"/>
  <c r="J109" i="11"/>
  <c r="K109" i="11"/>
  <c r="G110" i="11"/>
  <c r="H110" i="11"/>
  <c r="I110" i="11"/>
  <c r="J110" i="11"/>
  <c r="K110" i="11"/>
  <c r="G111" i="11"/>
  <c r="H111" i="11"/>
  <c r="I111" i="11"/>
  <c r="J111" i="11"/>
  <c r="K111" i="11"/>
  <c r="G112" i="11"/>
  <c r="H112" i="11"/>
  <c r="I112" i="11"/>
  <c r="J112" i="11"/>
  <c r="K112" i="11"/>
  <c r="G113" i="11"/>
  <c r="H113" i="11"/>
  <c r="I113" i="11"/>
  <c r="J113" i="11"/>
  <c r="K113" i="11"/>
  <c r="G114" i="11"/>
  <c r="H114" i="11"/>
  <c r="I114" i="11"/>
  <c r="J114" i="11"/>
  <c r="K114" i="11"/>
  <c r="G115" i="11"/>
  <c r="H115" i="11"/>
  <c r="I115" i="11"/>
  <c r="J115" i="11"/>
  <c r="K115" i="11"/>
  <c r="G116" i="11"/>
  <c r="H116" i="11"/>
  <c r="I116" i="11"/>
  <c r="J116" i="11"/>
  <c r="K116" i="11"/>
  <c r="G117" i="11"/>
  <c r="H117" i="11"/>
  <c r="I117" i="11"/>
  <c r="J117" i="11"/>
  <c r="K117" i="11"/>
  <c r="G118" i="11"/>
  <c r="H118" i="11"/>
  <c r="I118" i="11"/>
  <c r="J118" i="11"/>
  <c r="K118" i="11"/>
  <c r="G119" i="11"/>
  <c r="H119" i="11"/>
  <c r="I119" i="11"/>
  <c r="J119" i="11"/>
  <c r="K119" i="11"/>
  <c r="G120" i="11"/>
  <c r="H120" i="11"/>
  <c r="I120" i="11"/>
  <c r="J120" i="11"/>
  <c r="K120" i="11"/>
  <c r="G121" i="11"/>
  <c r="H121" i="11"/>
  <c r="I121" i="11"/>
  <c r="J121" i="11"/>
  <c r="K121" i="11"/>
  <c r="G122" i="11"/>
  <c r="H122" i="11"/>
  <c r="I122" i="11"/>
  <c r="J122" i="11"/>
  <c r="K122" i="11"/>
  <c r="G123" i="11"/>
  <c r="H123" i="11"/>
  <c r="I123" i="11"/>
  <c r="J123" i="11"/>
  <c r="K123" i="11"/>
  <c r="G124" i="11"/>
  <c r="H124" i="11"/>
  <c r="I124" i="11"/>
  <c r="J124" i="11"/>
  <c r="K124" i="11"/>
  <c r="G125" i="11"/>
  <c r="H125" i="11"/>
  <c r="I125" i="11"/>
  <c r="J125" i="11"/>
  <c r="K125" i="11"/>
  <c r="G126" i="11"/>
  <c r="H126" i="11"/>
  <c r="I126" i="11"/>
  <c r="J126" i="11"/>
  <c r="K126" i="11"/>
  <c r="G127" i="11"/>
  <c r="H127" i="11"/>
  <c r="I127" i="11"/>
  <c r="J127" i="11"/>
  <c r="K127" i="11"/>
  <c r="G128" i="11"/>
  <c r="H128" i="11"/>
  <c r="I128" i="11"/>
  <c r="J128" i="11"/>
  <c r="K128" i="11"/>
  <c r="G129" i="11"/>
  <c r="H129" i="11"/>
  <c r="I129" i="11"/>
  <c r="J129" i="11"/>
  <c r="K129" i="11"/>
  <c r="G130" i="11"/>
  <c r="H130" i="11"/>
  <c r="I130" i="11"/>
  <c r="J130" i="11"/>
  <c r="K130" i="11"/>
  <c r="G131" i="11"/>
  <c r="H131" i="11"/>
  <c r="I131" i="11"/>
  <c r="J131" i="11"/>
  <c r="K131" i="11"/>
  <c r="G132" i="11"/>
  <c r="H132" i="11"/>
  <c r="I132" i="11"/>
  <c r="J132" i="11"/>
  <c r="K132" i="11"/>
  <c r="G133" i="11"/>
  <c r="H133" i="11"/>
  <c r="I133" i="11"/>
  <c r="J133" i="11"/>
  <c r="K133" i="11"/>
  <c r="G134" i="11"/>
  <c r="H134" i="11"/>
  <c r="I134" i="11"/>
  <c r="J134" i="11"/>
  <c r="K134" i="11"/>
  <c r="G135" i="11"/>
  <c r="H135" i="11"/>
  <c r="I135" i="11"/>
  <c r="J135" i="11"/>
  <c r="K135" i="11"/>
  <c r="G136" i="11"/>
  <c r="H136" i="11"/>
  <c r="I136" i="11"/>
  <c r="J136" i="11"/>
  <c r="K136" i="11"/>
  <c r="G137" i="11"/>
  <c r="H137" i="11"/>
  <c r="I137" i="11"/>
  <c r="J137" i="11"/>
  <c r="K137" i="11"/>
  <c r="G138" i="11"/>
  <c r="H138" i="11"/>
  <c r="I138" i="11"/>
  <c r="J138" i="11"/>
  <c r="K138" i="11"/>
  <c r="G139" i="11"/>
  <c r="H139" i="11"/>
  <c r="I139" i="11"/>
  <c r="J139" i="11"/>
  <c r="K139" i="11"/>
  <c r="G140" i="11"/>
  <c r="H140" i="11"/>
  <c r="I140" i="11"/>
  <c r="J140" i="11"/>
  <c r="K140" i="11"/>
  <c r="G141" i="11"/>
  <c r="H141" i="11"/>
  <c r="I141" i="11"/>
  <c r="J141" i="11"/>
  <c r="K141" i="11"/>
  <c r="G142" i="11"/>
  <c r="H142" i="11"/>
  <c r="I142" i="11"/>
  <c r="J142" i="11"/>
  <c r="K142" i="11"/>
  <c r="G143" i="11"/>
  <c r="H143" i="11"/>
  <c r="I143" i="11"/>
  <c r="J143" i="11"/>
  <c r="K143" i="11"/>
  <c r="H2" i="11"/>
  <c r="K2" i="11"/>
  <c r="J2" i="11"/>
  <c r="I2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2" i="11"/>
  <c r="K3" i="2" a="1"/>
  <c r="K3" i="2" s="1"/>
  <c r="K4" i="2" a="1"/>
  <c r="K4" i="2"/>
  <c r="K5" i="2" a="1"/>
  <c r="K5" i="2"/>
  <c r="K6" i="2" a="1"/>
  <c r="K6" i="2" s="1"/>
  <c r="K7" i="2" a="1"/>
  <c r="K7" i="2" s="1"/>
  <c r="K8" i="2" a="1"/>
  <c r="K8" i="2"/>
  <c r="K9" i="2" a="1"/>
  <c r="K9" i="2"/>
  <c r="K10" i="2" a="1"/>
  <c r="K10" i="2"/>
  <c r="K11" i="2" a="1"/>
  <c r="K11" i="2" s="1"/>
  <c r="K12" i="2" a="1"/>
  <c r="K12" i="2" s="1"/>
  <c r="K13" i="2" a="1"/>
  <c r="K13" i="2"/>
  <c r="K14" i="2" a="1"/>
  <c r="K14" i="2" s="1"/>
  <c r="K15" i="2" a="1"/>
  <c r="K15" i="2" s="1"/>
  <c r="K16" i="2" a="1"/>
  <c r="K16" i="2" s="1"/>
  <c r="K17" i="2" a="1"/>
  <c r="K17" i="2" s="1"/>
  <c r="K18" i="2" a="1"/>
  <c r="K18" i="2"/>
  <c r="K19" i="2" a="1"/>
  <c r="K19" i="2" s="1"/>
  <c r="K20" i="2" a="1"/>
  <c r="K20" i="2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 s="1"/>
  <c r="K30" i="2" a="1"/>
  <c r="K30" i="2" s="1"/>
  <c r="K31" i="2" a="1"/>
  <c r="K31" i="2" s="1"/>
  <c r="K32" i="2" a="1"/>
  <c r="K32" i="2" s="1"/>
  <c r="K33" i="2" a="1"/>
  <c r="K33" i="2" s="1"/>
  <c r="K34" i="2" a="1"/>
  <c r="K34" i="2" s="1"/>
  <c r="K35" i="2" a="1"/>
  <c r="K35" i="2" s="1"/>
  <c r="K36" i="2" a="1"/>
  <c r="K36" i="2" s="1"/>
  <c r="K37" i="2" a="1"/>
  <c r="K37" i="2" s="1"/>
  <c r="K38" i="2" a="1"/>
  <c r="K38" i="2" s="1"/>
  <c r="K39" i="2" a="1"/>
  <c r="K39" i="2" s="1"/>
  <c r="K40" i="2" a="1"/>
  <c r="K40" i="2" s="1"/>
  <c r="K41" i="2" a="1"/>
  <c r="K41" i="2" s="1"/>
  <c r="K42" i="2" a="1"/>
  <c r="K42" i="2" s="1"/>
  <c r="K43" i="2" a="1"/>
  <c r="K43" i="2" s="1"/>
  <c r="K44" i="2" a="1"/>
  <c r="K44" i="2" s="1"/>
  <c r="K45" i="2" a="1"/>
  <c r="K45" i="2"/>
  <c r="K46" i="2" a="1"/>
  <c r="K46" i="2"/>
  <c r="K47" i="2" a="1"/>
  <c r="K47" i="2"/>
  <c r="K48" i="2" a="1"/>
  <c r="K48" i="2"/>
  <c r="K49" i="2" a="1"/>
  <c r="K49" i="2"/>
  <c r="K50" i="2" a="1"/>
  <c r="K50" i="2"/>
  <c r="K51" i="2" a="1"/>
  <c r="K51" i="2"/>
  <c r="K52" i="2" a="1"/>
  <c r="K52" i="2"/>
  <c r="K53" i="2" a="1"/>
  <c r="K53" i="2"/>
  <c r="K54" i="2" a="1"/>
  <c r="K54" i="2"/>
  <c r="K55" i="2" a="1"/>
  <c r="K55" i="2"/>
  <c r="K56" i="2" a="1"/>
  <c r="K56" i="2"/>
  <c r="K57" i="2" a="1"/>
  <c r="K57" i="2"/>
  <c r="K58" i="2" a="1"/>
  <c r="K58" i="2"/>
  <c r="K59" i="2" a="1"/>
  <c r="K59" i="2"/>
  <c r="K60" i="2" a="1"/>
  <c r="K60" i="2"/>
  <c r="K61" i="2" a="1"/>
  <c r="K61" i="2"/>
  <c r="K62" i="2" a="1"/>
  <c r="K62" i="2"/>
  <c r="K63" i="2" a="1"/>
  <c r="K63" i="2"/>
  <c r="K64" i="2" a="1"/>
  <c r="K64" i="2"/>
  <c r="K65" i="2" a="1"/>
  <c r="K65" i="2"/>
  <c r="K66" i="2" a="1"/>
  <c r="K66" i="2"/>
  <c r="K67" i="2" a="1"/>
  <c r="K67" i="2" s="1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 s="1"/>
  <c r="K75" i="2" a="1"/>
  <c r="K75" i="2" s="1"/>
  <c r="K76" i="2" a="1"/>
  <c r="K76" i="2" s="1"/>
  <c r="K77" i="2" a="1"/>
  <c r="K77" i="2" s="1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 s="1"/>
  <c r="K84" i="2" a="1"/>
  <c r="K84" i="2" s="1"/>
  <c r="K85" i="2" a="1"/>
  <c r="K85" i="2" s="1"/>
  <c r="K86" i="2" a="1"/>
  <c r="K86" i="2"/>
  <c r="K87" i="2" a="1"/>
  <c r="K87" i="2"/>
  <c r="K88" i="2" a="1"/>
  <c r="K88" i="2"/>
  <c r="K89" i="2" a="1"/>
  <c r="K89" i="2"/>
  <c r="K90" i="2" a="1"/>
  <c r="K90" i="2"/>
  <c r="K91" i="2" a="1"/>
  <c r="K91" i="2"/>
  <c r="K92" i="2" a="1"/>
  <c r="K92" i="2"/>
  <c r="K93" i="2" a="1"/>
  <c r="K93" i="2"/>
  <c r="K94" i="2" a="1"/>
  <c r="K94" i="2"/>
  <c r="K95" i="2" a="1"/>
  <c r="K95" i="2"/>
  <c r="K96" i="2" a="1"/>
  <c r="K96" i="2"/>
  <c r="K97" i="2" a="1"/>
  <c r="K97" i="2"/>
  <c r="K98" i="2" a="1"/>
  <c r="K98" i="2"/>
  <c r="K99" i="2" a="1"/>
  <c r="K99" i="2"/>
  <c r="K100" i="2" a="1"/>
  <c r="K100" i="2"/>
  <c r="K101" i="2" a="1"/>
  <c r="K101" i="2"/>
  <c r="K102" i="2" a="1"/>
  <c r="K102" i="2"/>
  <c r="K103" i="2" a="1"/>
  <c r="K103" i="2"/>
  <c r="K104" i="2" a="1"/>
  <c r="K104" i="2"/>
  <c r="K105" i="2" a="1"/>
  <c r="K105" i="2"/>
  <c r="K106" i="2" a="1"/>
  <c r="K106" i="2"/>
  <c r="K107" i="2" a="1"/>
  <c r="K107" i="2"/>
  <c r="K108" i="2" a="1"/>
  <c r="K108" i="2"/>
  <c r="K109" i="2" a="1"/>
  <c r="K109" i="2" s="1"/>
  <c r="K110" i="2" a="1"/>
  <c r="K110" i="2"/>
  <c r="K111" i="2" a="1"/>
  <c r="K111" i="2" s="1"/>
  <c r="K112" i="2" a="1"/>
  <c r="K112" i="2" s="1"/>
  <c r="K113" i="2" a="1"/>
  <c r="K113" i="2" s="1"/>
  <c r="K114" i="2" a="1"/>
  <c r="K114" i="2" s="1"/>
  <c r="K115" i="2" a="1"/>
  <c r="K115" i="2" s="1"/>
  <c r="K116" i="2" a="1"/>
  <c r="K116" i="2" s="1"/>
  <c r="K117" i="2" a="1"/>
  <c r="K117" i="2" s="1"/>
  <c r="K118" i="2" a="1"/>
  <c r="K118" i="2" s="1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 s="1"/>
  <c r="K125" i="2" a="1"/>
  <c r="K125" i="2" s="1"/>
  <c r="K126" i="2" a="1"/>
  <c r="K126" i="2" s="1"/>
  <c r="K127" i="2" a="1"/>
  <c r="K127" i="2" s="1"/>
  <c r="K128" i="2" a="1"/>
  <c r="K128" i="2" s="1"/>
  <c r="K129" i="2" a="1"/>
  <c r="K129" i="2" s="1"/>
  <c r="K130" i="2" a="1"/>
  <c r="K130" i="2" s="1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 s="1"/>
  <c r="K138" i="2" a="1"/>
  <c r="K138" i="2" s="1"/>
  <c r="K139" i="2" a="1"/>
  <c r="K139" i="2" s="1"/>
  <c r="K140" i="2" a="1"/>
  <c r="K140" i="2" s="1"/>
  <c r="K141" i="2" a="1"/>
  <c r="K141" i="2" s="1"/>
  <c r="K142" i="2" a="1"/>
  <c r="K142" i="2" s="1"/>
  <c r="K143" i="2" a="1"/>
  <c r="K143" i="2" s="1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 s="1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2" i="2" a="1"/>
  <c r="K2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<sst xmlns="http://schemas.openxmlformats.org/spreadsheetml/2006/main" count="2684" uniqueCount="495">
  <si>
    <t>序号</t>
  </si>
  <si>
    <t>提交答卷时间</t>
  </si>
  <si>
    <t>所用时间</t>
  </si>
  <si>
    <t>来源</t>
  </si>
  <si>
    <t>来源详情</t>
  </si>
  <si>
    <t>来自IP</t>
  </si>
  <si>
    <t>1、性别</t>
  </si>
  <si>
    <t>2、请根据您过去一年的实际支出情况，填写平均每月生活费，请输入数字：</t>
  </si>
  <si>
    <t>3、当前使用的手机购买价格，请输入数字：</t>
  </si>
  <si>
    <t>4、当前使用的笔记本电脑购买价格？请输入数字</t>
  </si>
  <si>
    <t>5、当前使用的笔记本电脑已使用了多少个月？请输入数字</t>
  </si>
  <si>
    <t xml:space="preserve">6、您认为自己最接近哪类用户？ </t>
  </si>
  <si>
    <t>7、在购买笔记本电脑时，您最看重或倾向于选择哪类品牌：</t>
  </si>
  <si>
    <t>2026/3/3 18:19:31</t>
  </si>
  <si>
    <t>39秒</t>
  </si>
  <si>
    <t>手机提交</t>
  </si>
  <si>
    <t>直接访问</t>
  </si>
  <si>
    <t>183.6.122.230(广东-广州)</t>
  </si>
  <si>
    <t>2026/3/3 18:19:38</t>
  </si>
  <si>
    <t>43秒</t>
  </si>
  <si>
    <t>183.6.47.53(广东-广州)</t>
  </si>
  <si>
    <t>2026/3/3 18:19:43</t>
  </si>
  <si>
    <t>49秒</t>
  </si>
  <si>
    <t>112.96.47.59(广东-广州)</t>
  </si>
  <si>
    <t>2026/3/3 18:19:44</t>
  </si>
  <si>
    <t>42秒</t>
  </si>
  <si>
    <t>183.36.176.54(广东-广州)</t>
  </si>
  <si>
    <t>2026/3/3 18:19:45</t>
  </si>
  <si>
    <t>52秒</t>
  </si>
  <si>
    <t>223.104.78.200(广东-广州)</t>
  </si>
  <si>
    <t>51秒</t>
  </si>
  <si>
    <t>223.160.229.33(广东-广州)</t>
  </si>
  <si>
    <t>2026/3/3 18:19:51</t>
  </si>
  <si>
    <t>47秒</t>
  </si>
  <si>
    <t>183.6.122.60(广东-广州)</t>
  </si>
  <si>
    <t>14.31.65.138(广东-东莞)</t>
  </si>
  <si>
    <t>2026/3/3 18:19:52</t>
  </si>
  <si>
    <t>61秒</t>
  </si>
  <si>
    <t>183.6.122.198(广东-广州)</t>
  </si>
  <si>
    <t>46秒</t>
  </si>
  <si>
    <t>223.104.78.181(广东-广州)</t>
  </si>
  <si>
    <t>2026/3/3 18:19:57</t>
  </si>
  <si>
    <t>63秒</t>
  </si>
  <si>
    <t>223.104.80.146(广东-广州)</t>
  </si>
  <si>
    <t>2026/3/3 18:19:58</t>
  </si>
  <si>
    <t>183.37.0.35(广东-深圳)</t>
  </si>
  <si>
    <t>链接</t>
  </si>
  <si>
    <t>125.88.24.201(广东-广州)</t>
  </si>
  <si>
    <t>2026/3/3 18:20:00</t>
  </si>
  <si>
    <t>68秒</t>
  </si>
  <si>
    <t>112.96.45.155(广东-广州)</t>
  </si>
  <si>
    <t>2026/3/3 18:20:03</t>
  </si>
  <si>
    <t>64秒</t>
  </si>
  <si>
    <t>219.135.195.78(广东-广州)</t>
  </si>
  <si>
    <t>2026/3/3 18:20:07</t>
  </si>
  <si>
    <t>81秒</t>
  </si>
  <si>
    <t>219.135.153.122(广东-广州)</t>
  </si>
  <si>
    <t>2026/3/3 18:20:14</t>
  </si>
  <si>
    <t>82秒</t>
  </si>
  <si>
    <t>112.96.175.216(广东-广州)</t>
  </si>
  <si>
    <t>112.96.62.91(广东-广州)</t>
  </si>
  <si>
    <t>2026/3/3 18:20:21</t>
  </si>
  <si>
    <t>125.88.24.164(广东-广州)</t>
  </si>
  <si>
    <t>2026/3/3 18:20:23</t>
  </si>
  <si>
    <t>88秒</t>
  </si>
  <si>
    <t>112.96.48.183(广东-广州)</t>
  </si>
  <si>
    <t>2026/3/3 18:20:26</t>
  </si>
  <si>
    <t>94秒</t>
  </si>
  <si>
    <t>223.104.67.227(广东-广州)</t>
  </si>
  <si>
    <t>2026/3/3 18:20:32</t>
  </si>
  <si>
    <t>103秒</t>
  </si>
  <si>
    <t>183.9.72.129(广东-揭阳)</t>
  </si>
  <si>
    <t>2026/3/3 18:20:38</t>
  </si>
  <si>
    <t>89秒</t>
  </si>
  <si>
    <t>223.104.76.156(广东-广州)</t>
  </si>
  <si>
    <t>2026/3/3 18:20:40</t>
  </si>
  <si>
    <t>84秒</t>
  </si>
  <si>
    <t>223.104.78.160(广东-广州)</t>
  </si>
  <si>
    <t>2026/3/3 18:20:46</t>
  </si>
  <si>
    <t>115秒</t>
  </si>
  <si>
    <t>223.104.67.139(广东-广州)</t>
  </si>
  <si>
    <t>2026/3/3 18:20:48</t>
  </si>
  <si>
    <t>92秒</t>
  </si>
  <si>
    <t>微信</t>
  </si>
  <si>
    <t>N/A</t>
  </si>
  <si>
    <t>223.104.69.132(广东-惠州)</t>
  </si>
  <si>
    <t>2026/3/3 18:20:49</t>
  </si>
  <si>
    <t>114秒</t>
  </si>
  <si>
    <t>219.135.153.119(广东-广州)</t>
  </si>
  <si>
    <t>2026/3/3 18:20:51</t>
  </si>
  <si>
    <t>45秒</t>
  </si>
  <si>
    <t>14.26.161.42(广东-广州)</t>
  </si>
  <si>
    <t>2026/3/3 18:20:54</t>
  </si>
  <si>
    <t>87秒</t>
  </si>
  <si>
    <t>223.104.76.231(广东-广州)</t>
  </si>
  <si>
    <t>2026/3/3 18:20:57</t>
  </si>
  <si>
    <t>104秒</t>
  </si>
  <si>
    <t>183.6.122.214(广东-广州)</t>
  </si>
  <si>
    <t>2026/3/3 18:20:58</t>
  </si>
  <si>
    <t>120秒</t>
  </si>
  <si>
    <t>183.6.122.228(广东-广州)</t>
  </si>
  <si>
    <t>2026/3/3 18:21:06</t>
  </si>
  <si>
    <t>110秒</t>
  </si>
  <si>
    <t>219.135.195.68(广东-广州)</t>
  </si>
  <si>
    <t>2026/3/3 18:21:07</t>
  </si>
  <si>
    <t>135秒</t>
  </si>
  <si>
    <t>223.104.67.152(广东-广州)</t>
  </si>
  <si>
    <t>2026/3/3 18:21:14</t>
  </si>
  <si>
    <t>125秒</t>
  </si>
  <si>
    <t>183.36.176.7(广东-广州)</t>
  </si>
  <si>
    <t>2026/3/3 18:21:15</t>
  </si>
  <si>
    <t>145秒</t>
  </si>
  <si>
    <t>219.135.153.100(广东-广州)</t>
  </si>
  <si>
    <t>2026/3/3 18:21:22</t>
  </si>
  <si>
    <t>117秒</t>
  </si>
  <si>
    <t>125.88.24.54(广东-广州)</t>
  </si>
  <si>
    <t>2026/3/3 18:21:24</t>
  </si>
  <si>
    <t>152秒</t>
  </si>
  <si>
    <t>125.88.24.80(广东-广州)</t>
  </si>
  <si>
    <t>2026/3/3 18:21:27</t>
  </si>
  <si>
    <t>62秒</t>
  </si>
  <si>
    <t>219.135.153.115(广东-广州)</t>
  </si>
  <si>
    <t>2026/3/3 18:21:30</t>
  </si>
  <si>
    <t>85秒</t>
  </si>
  <si>
    <t>223.160.228.202(广东-广州)</t>
  </si>
  <si>
    <t>2026/3/3 18:21:37</t>
  </si>
  <si>
    <t>170秒</t>
  </si>
  <si>
    <t>183.6.122.248(广东-广州)</t>
  </si>
  <si>
    <t>2026/3/3 18:21:44</t>
  </si>
  <si>
    <t>159秒</t>
  </si>
  <si>
    <t>223.104.67.39(广东-广州)</t>
  </si>
  <si>
    <t>2026/3/3 18:21:58</t>
  </si>
  <si>
    <t>182秒</t>
  </si>
  <si>
    <t>14.150.101.176(广东-深圳)</t>
  </si>
  <si>
    <t>128秒</t>
  </si>
  <si>
    <t>112.96.212.139(广东-广州)</t>
  </si>
  <si>
    <t>2026/3/3 18:22:00</t>
  </si>
  <si>
    <t>191秒</t>
  </si>
  <si>
    <t>2026/3/3 18:22:02</t>
  </si>
  <si>
    <t>168秒</t>
  </si>
  <si>
    <t>112.97.79.223(广东-深圳)</t>
  </si>
  <si>
    <t>2026/3/3 18:22:11</t>
  </si>
  <si>
    <t>199秒</t>
  </si>
  <si>
    <t>183.6.122.58(广东-广州)</t>
  </si>
  <si>
    <t>2026/3/3 18:22:19</t>
  </si>
  <si>
    <t>179秒</t>
  </si>
  <si>
    <t>223.104.80.148(广东-广州)</t>
  </si>
  <si>
    <t>2026/3/3 18:22:25</t>
  </si>
  <si>
    <t>213秒</t>
  </si>
  <si>
    <t>112.97.203.47(广东-东莞)</t>
  </si>
  <si>
    <t>2026/3/3 18:22:31</t>
  </si>
  <si>
    <t>66秒</t>
  </si>
  <si>
    <t>183.36.176.6(广东-广州)</t>
  </si>
  <si>
    <t>2026/3/3 18:22:38</t>
  </si>
  <si>
    <t>223.160.225.233(广东-广州)</t>
  </si>
  <si>
    <t>2026/3/3 18:22:39</t>
  </si>
  <si>
    <t>221秒</t>
  </si>
  <si>
    <t>183.46.97.91(广东-汕头)</t>
  </si>
  <si>
    <t>2026/3/3 18:22:44</t>
  </si>
  <si>
    <t>183.6.122.249(广东-广州)</t>
  </si>
  <si>
    <t>228秒</t>
  </si>
  <si>
    <t>183.6.122.250(广东-广州)</t>
  </si>
  <si>
    <t>2026/3/3 18:23:17</t>
  </si>
  <si>
    <t>93秒</t>
  </si>
  <si>
    <t>223.104.67.196(广东-广州)</t>
  </si>
  <si>
    <t>2026/3/3 18:23:46</t>
  </si>
  <si>
    <t>270秒</t>
  </si>
  <si>
    <t>112.96.210.237(广东-广州)</t>
  </si>
  <si>
    <t>2026/3/3 18:24:31</t>
  </si>
  <si>
    <t>180秒</t>
  </si>
  <si>
    <t>14.31.72.116(广东-广州)</t>
  </si>
  <si>
    <t>2026/3/3 21:32:40</t>
  </si>
  <si>
    <t>36秒</t>
  </si>
  <si>
    <t>223.104.78.201(广东-广州)</t>
  </si>
  <si>
    <t>2026/3/3 21:32:46</t>
  </si>
  <si>
    <t>48秒</t>
  </si>
  <si>
    <t>223.104.86.5(广东-广州)</t>
  </si>
  <si>
    <t>2026/3/3 21:32:49</t>
  </si>
  <si>
    <t>183.9.68.175(广东-揭阳)</t>
  </si>
  <si>
    <t>2026/3/3 21:32:50</t>
  </si>
  <si>
    <t>58秒</t>
  </si>
  <si>
    <t>14.150.64.133(广东-深圳)</t>
  </si>
  <si>
    <t>2026/3/3 21:32:53</t>
  </si>
  <si>
    <t>60秒</t>
  </si>
  <si>
    <t>125.88.24.227(广东-广州)</t>
  </si>
  <si>
    <t>2026/3/3 21:32:54</t>
  </si>
  <si>
    <t>14.31.73.56(广东-广州)</t>
  </si>
  <si>
    <t>2026/3/3 21:33:01</t>
  </si>
  <si>
    <t>30秒</t>
  </si>
  <si>
    <t>183.6.122.219(广东-广州)</t>
  </si>
  <si>
    <t>2026/3/3 21:33:08</t>
  </si>
  <si>
    <t>72秒</t>
  </si>
  <si>
    <t>14.150.65.85(广东-深圳)</t>
  </si>
  <si>
    <t>73秒</t>
  </si>
  <si>
    <t>223.104.76.172(广东-广州)</t>
  </si>
  <si>
    <t>2026/3/3 21:33:09</t>
  </si>
  <si>
    <t>38秒</t>
  </si>
  <si>
    <t>183.6.122.218(广东-广州)</t>
  </si>
  <si>
    <t>2026/3/3 21:33:13</t>
  </si>
  <si>
    <t>78秒</t>
  </si>
  <si>
    <t>112.96.48.9(广东-广州)</t>
  </si>
  <si>
    <t>2026/3/3 21:33:17</t>
  </si>
  <si>
    <t>111.55.205.141(广东-广州)</t>
  </si>
  <si>
    <t>2026/3/3 21:33:18</t>
  </si>
  <si>
    <t>75秒</t>
  </si>
  <si>
    <t>183.36.176.14(广东-广州)</t>
  </si>
  <si>
    <t>2026/3/3 21:33:21</t>
  </si>
  <si>
    <t>53秒</t>
  </si>
  <si>
    <t>112.96.49.36(广东-广州)</t>
  </si>
  <si>
    <t>2026/3/3 21:33:23</t>
  </si>
  <si>
    <t>65秒</t>
  </si>
  <si>
    <t>223.104.68.89(广东-深圳)</t>
  </si>
  <si>
    <t>59秒</t>
  </si>
  <si>
    <t>223.104.76.227(广东-广州)</t>
  </si>
  <si>
    <t>2026/3/3 21:33:31</t>
  </si>
  <si>
    <t>183.6.122.222(广东-广州)</t>
  </si>
  <si>
    <t>2026/3/3 21:33:33</t>
  </si>
  <si>
    <t>98秒</t>
  </si>
  <si>
    <t>112.96.71.124(广东-广州)</t>
  </si>
  <si>
    <t>2026/3/3 21:33:40</t>
  </si>
  <si>
    <t>31秒</t>
  </si>
  <si>
    <t>223.104.67.158(广东-广州)</t>
  </si>
  <si>
    <t>100秒</t>
  </si>
  <si>
    <t>223.160.225.83(广东-广州)</t>
  </si>
  <si>
    <t>2026/3/3 21:33:41</t>
  </si>
  <si>
    <t>223.104.67.128(广东-广州)</t>
  </si>
  <si>
    <t>83秒</t>
  </si>
  <si>
    <t>223.104.86.31(广东-广州)</t>
  </si>
  <si>
    <t>2026/3/3 21:33:49</t>
  </si>
  <si>
    <t>116秒</t>
  </si>
  <si>
    <t>223.104.67.184(广东-广州)</t>
  </si>
  <si>
    <t>107秒</t>
  </si>
  <si>
    <t>223.104.76.140(广东-广州)</t>
  </si>
  <si>
    <t>2026/3/3 21:33:56</t>
  </si>
  <si>
    <t>95秒</t>
  </si>
  <si>
    <t>183.36.176.44(广东-广州)</t>
  </si>
  <si>
    <t>2026/3/3 21:33:57</t>
  </si>
  <si>
    <t>123秒</t>
  </si>
  <si>
    <t>183.36.176.25(广东-广州)</t>
  </si>
  <si>
    <t>2026/3/3 21:34:02</t>
  </si>
  <si>
    <t>2026/3/3 21:34:05</t>
  </si>
  <si>
    <t>122秒</t>
  </si>
  <si>
    <t>219.135.195.67(广东-广州)</t>
  </si>
  <si>
    <t>2026/3/3 21:34:20</t>
  </si>
  <si>
    <t>158秒</t>
  </si>
  <si>
    <t>183.6.47.26(广东-广州)</t>
  </si>
  <si>
    <t>2026/3/3 21:34:48</t>
  </si>
  <si>
    <t>175秒</t>
  </si>
  <si>
    <t>223.104.78.182(广东-广州)</t>
  </si>
  <si>
    <t>2026/3/3 21:34:50</t>
  </si>
  <si>
    <t>176秒</t>
  </si>
  <si>
    <t>223.104.67.19(广东-广州)</t>
  </si>
  <si>
    <t>2026/3/3 21:34:57</t>
  </si>
  <si>
    <t>2026/3/3 21:34:59</t>
  </si>
  <si>
    <t>195秒</t>
  </si>
  <si>
    <t>223.104.67.36(广东-广州)</t>
  </si>
  <si>
    <t>2026/3/3 21:35:02</t>
  </si>
  <si>
    <t>96秒</t>
  </si>
  <si>
    <t>2026/3/3 21:35:22</t>
  </si>
  <si>
    <t>206秒</t>
  </si>
  <si>
    <t>14.26.160.6(广东-广州)</t>
  </si>
  <si>
    <t>2026/3/3 21:35:26</t>
  </si>
  <si>
    <t>192秒</t>
  </si>
  <si>
    <t>223.104.76.220(广东-广州)</t>
  </si>
  <si>
    <t>2026/3/3 21:35:32</t>
  </si>
  <si>
    <t>223.104.76.134(广东-广州)</t>
  </si>
  <si>
    <t>2026/3/3 21:35:36</t>
  </si>
  <si>
    <t>223秒</t>
  </si>
  <si>
    <t>223.104.71.79(广东-汕头)</t>
  </si>
  <si>
    <t>2026/3/3 21:35:41</t>
  </si>
  <si>
    <t>230秒</t>
  </si>
  <si>
    <t>183.36.176.10(广东-广州)</t>
  </si>
  <si>
    <t>2026/3/3 21:36:34</t>
  </si>
  <si>
    <t>292秒</t>
  </si>
  <si>
    <t>219.135.153.98(广东-广州)</t>
  </si>
  <si>
    <t>298秒</t>
  </si>
  <si>
    <t>183.6.122.193(广东-广州)</t>
  </si>
  <si>
    <t>2026/3/3 21:36:39</t>
  </si>
  <si>
    <t>271秒</t>
  </si>
  <si>
    <t>219.135.153.99(广东-广州)</t>
  </si>
  <si>
    <t>2026/3/3 21:36:42</t>
  </si>
  <si>
    <t>288秒</t>
  </si>
  <si>
    <t>223.104.78.224(广东-广州)</t>
  </si>
  <si>
    <t>2026/3/3 21:37:01</t>
  </si>
  <si>
    <t>284秒</t>
  </si>
  <si>
    <t>223.104.87.193(广东-广州)</t>
  </si>
  <si>
    <t>2026/3/3 21:37:13</t>
  </si>
  <si>
    <t>290秒</t>
  </si>
  <si>
    <t>112.96.110.81(广东-广州)</t>
  </si>
  <si>
    <t>2026/3/3 21:38:08</t>
  </si>
  <si>
    <t>76秒</t>
  </si>
  <si>
    <t>112.96.49.168(广东-广州)</t>
  </si>
  <si>
    <t>2026/3/3 21:41:21</t>
  </si>
  <si>
    <t>14.31.72.144(广东-广州)</t>
  </si>
  <si>
    <t>2026/3/3 21:43:29</t>
  </si>
  <si>
    <t>74秒</t>
  </si>
  <si>
    <t>14.150.193.131(广东-佛山)</t>
  </si>
  <si>
    <t>2026/3/6 9:22:56</t>
  </si>
  <si>
    <t>223.104.87.115(广东-广州)</t>
  </si>
  <si>
    <t>2026/3/6 9:22:57</t>
  </si>
  <si>
    <t>112.96.57.174(广东-广州)</t>
  </si>
  <si>
    <t>2026/3/6 9:22:59</t>
  </si>
  <si>
    <t>183.6.122.225(广东-广州)</t>
  </si>
  <si>
    <t>2026/3/6 9:23:04</t>
  </si>
  <si>
    <t>56秒</t>
  </si>
  <si>
    <t>223.104.78.156(广东-广州)</t>
  </si>
  <si>
    <t>2026/3/6 9:23:12</t>
  </si>
  <si>
    <t>70秒</t>
  </si>
  <si>
    <t>223.104.76.175(广东-广州)</t>
  </si>
  <si>
    <t>2026/3/6 9:23:15</t>
  </si>
  <si>
    <t>67秒</t>
  </si>
  <si>
    <t>112.96.49.229(广东-广州)</t>
  </si>
  <si>
    <t>2026/3/6 9:23:35</t>
  </si>
  <si>
    <t>223.104.67.223(广东-广州)</t>
  </si>
  <si>
    <t>2026/3/6 9:23:52</t>
  </si>
  <si>
    <t>125.88.24.27(广东-广州)</t>
  </si>
  <si>
    <t>2026/3/6 9:24:01</t>
  </si>
  <si>
    <t>141秒</t>
  </si>
  <si>
    <t>219.135.153.120(广东-广州)</t>
  </si>
  <si>
    <t>2026/3/6 9:24:06</t>
  </si>
  <si>
    <t>144秒</t>
  </si>
  <si>
    <t>183.36.176.50(广东-广州)</t>
  </si>
  <si>
    <t>2026/3/6 9:24:30</t>
  </si>
  <si>
    <t>223.104.76.171(广东-广州)</t>
  </si>
  <si>
    <t>2026/3/6 9:24:31</t>
  </si>
  <si>
    <t>165秒</t>
  </si>
  <si>
    <t>183.6.122.240(广东-广州)</t>
  </si>
  <si>
    <t>2026/3/6 9:24:38</t>
  </si>
  <si>
    <t>174秒</t>
  </si>
  <si>
    <t>183.36.176.37(广东-广州)</t>
  </si>
  <si>
    <t>2026/3/6 9:24:52</t>
  </si>
  <si>
    <t>2026/3/6 9:24:59</t>
  </si>
  <si>
    <t>187秒</t>
  </si>
  <si>
    <t>183.36.176.3(广东-广州)</t>
  </si>
  <si>
    <t>2026/3/6 9:25:03</t>
  </si>
  <si>
    <t>101秒</t>
  </si>
  <si>
    <t>223.104.88.38(广东-广州)</t>
  </si>
  <si>
    <t>2026/3/6 9:25:16</t>
  </si>
  <si>
    <t>209秒</t>
  </si>
  <si>
    <t>223.104.67.165(广东-广州)</t>
  </si>
  <si>
    <t>2026/3/6 9:25:27</t>
  </si>
  <si>
    <t>198秒</t>
  </si>
  <si>
    <t>183.9.192.154(广东-揭阳)</t>
  </si>
  <si>
    <t>2026/3/6 9:25:55</t>
  </si>
  <si>
    <t>246秒</t>
  </si>
  <si>
    <t>223.104.78.153(广东-广州)</t>
  </si>
  <si>
    <t>2026/3/6 9:26:12</t>
  </si>
  <si>
    <t>155秒</t>
  </si>
  <si>
    <t>183.6.47.39(广东-广州)</t>
  </si>
  <si>
    <t>2026/3/6 9:28:18</t>
  </si>
  <si>
    <t>397秒</t>
  </si>
  <si>
    <t>223.104.88.33(广东-广州)</t>
  </si>
  <si>
    <t>2026/3/6 10:00:37</t>
  </si>
  <si>
    <t>40秒</t>
  </si>
  <si>
    <t>223.104.88.20(广东-广州)</t>
  </si>
  <si>
    <t>2026/3/6 11:17:12</t>
  </si>
  <si>
    <t>183.6.122.199(广东-广州)</t>
  </si>
  <si>
    <t>2026/3/6 11:17:31</t>
  </si>
  <si>
    <t>112.96.45.166(广东-广州)</t>
  </si>
  <si>
    <t>2026/3/6 11:17:33</t>
  </si>
  <si>
    <t>183.6.122.197(广东-广州)</t>
  </si>
  <si>
    <t>223.104.67.255(广东-广州)</t>
  </si>
  <si>
    <t>2026/3/6 11:17:44</t>
  </si>
  <si>
    <t>223.104.67.51(广东-广州)</t>
  </si>
  <si>
    <t>2026/3/6 11:17:48</t>
  </si>
  <si>
    <t>223.160.226.173(广东-广州)</t>
  </si>
  <si>
    <t>2026/3/6 11:17:57</t>
  </si>
  <si>
    <t>223.104.78.210(广东-广州)</t>
  </si>
  <si>
    <t>2026/3/6 11:18:02</t>
  </si>
  <si>
    <t>223.104.67.90(广东-广州)</t>
  </si>
  <si>
    <t>79秒</t>
  </si>
  <si>
    <t>223.104.88.43(广东-广州)</t>
  </si>
  <si>
    <t>2026/3/6 11:18:15</t>
  </si>
  <si>
    <t>105秒</t>
  </si>
  <si>
    <t>223.104.87.192(广东-广州)</t>
  </si>
  <si>
    <t>2026/3/6 11:18:23</t>
  </si>
  <si>
    <t>223.104.86.44(广东-广州)</t>
  </si>
  <si>
    <t>2026/3/6 11:18:25</t>
  </si>
  <si>
    <t>108秒</t>
  </si>
  <si>
    <t>223.104.86.30(广东-广州)</t>
  </si>
  <si>
    <t>2026/3/6 11:18:40</t>
  </si>
  <si>
    <t>126秒</t>
  </si>
  <si>
    <t>223.104.76.157(广东-广州)</t>
  </si>
  <si>
    <t>2026/3/6 11:18:41</t>
  </si>
  <si>
    <t>183.6.122.226(广东-广州)</t>
  </si>
  <si>
    <t>2026/3/6 11:18:42</t>
  </si>
  <si>
    <t>134秒</t>
  </si>
  <si>
    <t>223.104.88.77(广东-广州)</t>
  </si>
  <si>
    <t>2026/3/6 11:18:46</t>
  </si>
  <si>
    <t>137秒</t>
  </si>
  <si>
    <t>2026/3/6 11:18:49</t>
  </si>
  <si>
    <t>223.160.228.240(广东-广州)</t>
  </si>
  <si>
    <t>127秒</t>
  </si>
  <si>
    <t>223.104.68.158(广东-深圳)</t>
  </si>
  <si>
    <t>2026/3/6 11:19:00</t>
  </si>
  <si>
    <t>183.9.66.227(广东-揭阳)</t>
  </si>
  <si>
    <t>2026/3/6 11:19:54</t>
  </si>
  <si>
    <t>205秒</t>
  </si>
  <si>
    <t>223.104.67.252(广东-广州)</t>
  </si>
  <si>
    <t>2026/3/6 11:19:56</t>
  </si>
  <si>
    <t>183.36.176.55(广东-广州)</t>
  </si>
  <si>
    <t>2026/3/6 11:19:58</t>
  </si>
  <si>
    <t>223.104.67.215(广东-广州)</t>
  </si>
  <si>
    <t>2026/3/6 11:20:32</t>
  </si>
  <si>
    <t>173秒</t>
  </si>
  <si>
    <t>219.135.153.121(广东-广州)</t>
  </si>
  <si>
    <t>2026/3/6 11:20:41</t>
  </si>
  <si>
    <t>183.36.176.49(广东-广州)</t>
  </si>
  <si>
    <t>2026/3/6 11:20:57</t>
  </si>
  <si>
    <t>259秒</t>
  </si>
  <si>
    <t>2026/3/6 11:21:03</t>
  </si>
  <si>
    <t>276秒</t>
  </si>
  <si>
    <t>125.88.24.233(广东-广州)</t>
  </si>
  <si>
    <t>2026/3/6 11:22:24</t>
  </si>
  <si>
    <t>342秒</t>
  </si>
  <si>
    <t>223.104.78.219(广东-广州)</t>
  </si>
  <si>
    <t>2026/3/6 12:48:11</t>
  </si>
  <si>
    <t>5492秒</t>
  </si>
  <si>
    <t>58.248.26.217(广东-广州)</t>
  </si>
  <si>
    <t>2026/3/6 19:09:15</t>
  </si>
  <si>
    <t>223.104.87.100(广东-广州)</t>
  </si>
  <si>
    <t>2026/3/11 10:04:46</t>
  </si>
  <si>
    <t>106秒</t>
  </si>
  <si>
    <t>183.36.176.51(广东-广州)</t>
  </si>
  <si>
    <t>2026/3/11 10:27:50</t>
  </si>
  <si>
    <t>238秒</t>
  </si>
  <si>
    <t>14.31.73.230(广东-广州)</t>
  </si>
  <si>
    <t>male</t>
  </si>
  <si>
    <t>male</t>
    <phoneticPr fontId="2" type="noConversion"/>
  </si>
  <si>
    <t>expense</t>
  </si>
  <si>
    <t>expense</t>
    <phoneticPr fontId="2" type="noConversion"/>
  </si>
  <si>
    <t>mobile</t>
  </si>
  <si>
    <t>mobile</t>
    <phoneticPr fontId="2" type="noConversion"/>
  </si>
  <si>
    <t>laptop</t>
  </si>
  <si>
    <t>laptop</t>
    <phoneticPr fontId="2" type="noConversion"/>
  </si>
  <si>
    <t>usage_month</t>
  </si>
  <si>
    <t>usage_month</t>
    <phoneticPr fontId="2" type="noConversion"/>
  </si>
  <si>
    <t>(空白)</t>
  </si>
  <si>
    <t>总计</t>
  </si>
  <si>
    <t xml:space="preserve">计数项:6、您认为自己最接近哪类用户？ </t>
  </si>
  <si>
    <t>demand_level</t>
  </si>
  <si>
    <t>demand_level</t>
    <phoneticPr fontId="2" type="noConversion"/>
  </si>
  <si>
    <r>
      <t>6</t>
    </r>
    <r>
      <rPr>
        <sz val="10"/>
        <color theme="1"/>
        <rFont val="Microsoft YaHei"/>
        <family val="2"/>
        <charset val="134"/>
      </rPr>
      <t>、您认为自己最接近哪类用户？</t>
    </r>
    <r>
      <rPr>
        <sz val="10"/>
        <color theme="1"/>
        <rFont val="Arial"/>
        <family val="2"/>
      </rPr>
      <t xml:space="preserve"> 1,2,3=performance, 4 = lite</t>
    </r>
    <phoneticPr fontId="2" type="noConversion"/>
  </si>
  <si>
    <r>
      <t>7</t>
    </r>
    <r>
      <rPr>
        <sz val="10"/>
        <color theme="1"/>
        <rFont val="Microsoft YaHei"/>
        <family val="2"/>
        <charset val="134"/>
      </rPr>
      <t>、在购买笔记本电脑时，您最看重或倾向于选择哪类品牌：</t>
    </r>
    <r>
      <rPr>
        <sz val="10"/>
        <color theme="1"/>
        <rFont val="Arial"/>
        <family val="2"/>
      </rPr>
      <t>1=premium</t>
    </r>
    <r>
      <rPr>
        <sz val="10"/>
        <color theme="1"/>
        <rFont val="Microsoft YaHei"/>
        <family val="2"/>
        <charset val="134"/>
      </rPr>
      <t>，</t>
    </r>
    <r>
      <rPr>
        <sz val="10"/>
        <color theme="1"/>
        <rFont val="Arial"/>
        <family val="2"/>
      </rPr>
      <t>2=mainstream</t>
    </r>
    <r>
      <rPr>
        <sz val="10"/>
        <color theme="1"/>
        <rFont val="Microsoft YaHei"/>
        <family val="2"/>
        <charset val="134"/>
      </rPr>
      <t>，</t>
    </r>
    <r>
      <rPr>
        <sz val="10"/>
        <color theme="1"/>
        <rFont val="Arial"/>
        <family val="2"/>
      </rPr>
      <t>3=gaming, 4=value</t>
    </r>
    <phoneticPr fontId="2" type="noConversion"/>
  </si>
  <si>
    <t>brand_preference</t>
  </si>
  <si>
    <t>brand_preference</t>
    <phoneticPr fontId="2" type="noConversion"/>
  </si>
  <si>
    <t>汇总</t>
  </si>
  <si>
    <t>计数项:7、在购买笔记本电脑时，您最看重或倾向于选择哪类品牌：</t>
  </si>
  <si>
    <t>performance</t>
  </si>
  <si>
    <t>value</t>
  </si>
  <si>
    <t>mainstream</t>
  </si>
  <si>
    <t>gaming</t>
  </si>
  <si>
    <t>lite</t>
  </si>
  <si>
    <t>premium</t>
  </si>
  <si>
    <t>female</t>
  </si>
  <si>
    <t>ID</t>
    <phoneticPr fontId="2" type="noConversion"/>
  </si>
  <si>
    <t>gender</t>
    <phoneticPr fontId="2" type="noConversion"/>
  </si>
  <si>
    <r>
      <rPr>
        <sz val="10"/>
        <color theme="1"/>
        <rFont val="Arial"/>
        <family val="2"/>
      </rPr>
      <t>标准误差</t>
    </r>
  </si>
  <si>
    <t>Q1</t>
    <phoneticPr fontId="2" type="noConversion"/>
  </si>
  <si>
    <t>Q3</t>
    <phoneticPr fontId="2" type="noConversion"/>
  </si>
  <si>
    <t>IQR</t>
    <phoneticPr fontId="2" type="noConversion"/>
  </si>
  <si>
    <t>step1</t>
    <phoneticPr fontId="2" type="noConversion"/>
  </si>
  <si>
    <t>step2</t>
    <phoneticPr fontId="2" type="noConversion"/>
  </si>
  <si>
    <t>delete laptop = 0</t>
    <phoneticPr fontId="2" type="noConversion"/>
  </si>
  <si>
    <t>Q1-3IQR</t>
    <phoneticPr fontId="2" type="noConversion"/>
  </si>
  <si>
    <t>Q3+3IQR</t>
    <phoneticPr fontId="2" type="noConversion"/>
  </si>
  <si>
    <t>delete expense&gt;5200, or laptop &gt; 16800</t>
    <phoneticPr fontId="2" type="noConversion"/>
  </si>
  <si>
    <t>SUMMARY OUTPUT</t>
  </si>
  <si>
    <t>Multiple R</t>
  </si>
  <si>
    <t>R Square</t>
  </si>
  <si>
    <t>Adjusted R Square</t>
  </si>
  <si>
    <t>方差分析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</si>
  <si>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</si>
  <si>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</si>
  <si>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</si>
  <si>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</si>
  <si>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</si>
  <si>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</si>
  <si>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</si>
  <si>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</si>
  <si>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</si>
  <si>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</si>
  <si>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</si>
  <si>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r>
      <rPr>
        <sz val="10"/>
        <color theme="1"/>
        <rFont val="Arial"/>
        <family val="2"/>
      </rPr>
      <t>回归统计</t>
    </r>
  </si>
  <si>
    <r>
      <rPr>
        <sz val="10"/>
        <color theme="1"/>
        <rFont val="Arial"/>
        <family val="2"/>
      </rPr>
      <t>观测值</t>
    </r>
  </si>
  <si>
    <r>
      <rPr>
        <sz val="10"/>
        <color theme="1"/>
        <rFont val="Arial"/>
        <family val="2"/>
      </rPr>
      <t>回归分析</t>
    </r>
  </si>
  <si>
    <r>
      <rPr>
        <sz val="10"/>
        <color theme="1"/>
        <rFont val="Arial"/>
        <family val="2"/>
      </rPr>
      <t>残差</t>
    </r>
  </si>
  <si>
    <r>
      <rPr>
        <sz val="10"/>
        <color theme="1"/>
        <rFont val="Arial"/>
        <family val="2"/>
      </rPr>
      <t>总计</t>
    </r>
  </si>
  <si>
    <r>
      <rPr>
        <sz val="10"/>
        <color theme="1"/>
        <rFont val="Arial"/>
        <family val="2"/>
      </rPr>
      <t>下限 95.0%</t>
    </r>
  </si>
  <si>
    <r>
      <rPr>
        <sz val="10"/>
        <color theme="1"/>
        <rFont val="Arial"/>
        <family val="2"/>
      </rPr>
      <t>上限 95.0%</t>
    </r>
  </si>
  <si>
    <t>lite</t>
    <phoneticPr fontId="2" type="noConversion"/>
  </si>
  <si>
    <t>premium</t>
    <phoneticPr fontId="2" type="noConversion"/>
  </si>
  <si>
    <t>mainstream</t>
    <phoneticPr fontId="2" type="noConversion"/>
  </si>
  <si>
    <t>gaming</t>
    <phoneticPr fontId="2" type="noConversion"/>
  </si>
  <si>
    <t>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</si>
</sst>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¥&quot;* #,##0_);_(&quot;¥&quot;* \(#,##0\);_(&quot;¥&quot;* &quot;-&quot;_);_(@_)"/>
    <numFmt numFmtId="41" formatCode="_(* #,##0_);_(* \(#,##0\);_(* &quot;-&quot;_);_(@_)"/>
    <numFmt numFmtId="44" formatCode="_(&quot;¥&quot;* #,##0.00_);_(&quot;¥&quot;* \(#,##0.00\);_(&quot;¥&quot;* &quot;-&quot;??_);_(@_)"/>
    <numFmt numFmtId="43" formatCode="_(* #,##0.00_);_(* \(#,##0.00\);_(* &quot;-&quot;??_);_(@_)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FangSong"/>
      <family val="3"/>
      <charset val="134"/>
    </font>
    <font>
      <sz val="10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9" fontId="0" fillId="0" borderId="0" xfId="0" applyNumberForma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Continuous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781538</xdr:colOff>
      <xdr:row>0</xdr:row>
      <xdr:rowOff>82467</xdr:rowOff>
    </xdr:from>
    <xdr:to>
      <xdr:col>5</xdr:col>
      <xdr:colOff>533306</xdr:colOff>
      <xdr:row>14</xdr:row>
      <xdr:rowOff>113874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5D00826-DF72-355F-46D0-4DD3488B3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7967" y="82467"/>
          <a:ext cx="5651081" cy="2376022"/>
        </a:xfrm>
        <a:prstGeom prst="rect">
          <a:avLst/>
        </a:prstGeom>
      </xdr:spPr>
    </xdr:pic>
    <xdr:clientData/>
  </xdr:twoCellAnchor>
  <xdr:twoCellAnchor editAs="oneCell">
    <xdr:from>
      <xdr:col>2</xdr:col>
      <xdr:colOff>753533</xdr:colOff>
      <xdr:row>17</xdr:row>
      <xdr:rowOff>149861</xdr:rowOff>
    </xdr:from>
    <xdr:to>
      <xdr:col>5</xdr:col>
      <xdr:colOff>556472</xdr:colOff>
      <xdr:row>32</xdr:row>
      <xdr:rowOff>125727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879A42E-499A-26B9-8D6A-9D387EFC5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4800" y="3028528"/>
          <a:ext cx="5746539" cy="251586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zz" refreshedDate="46098.506418750003" createdVersion="8" refreshedVersion="8" minRefreshableVersion="3" recordCount="158" xr:uid="{00CCE87C-3D3B-B345-9AF1-70FA7165BC88}">
  <cacheSource type="worksheet">
    <worksheetSource ref="A1:J1048576" sheet="formula"/>
  </cacheSource>
  <cacheFields count="9">
    <cacheField name="序号" numFmtId="0">
      <sharedItems containsString="0" containsBlank="1" containsNumber="1" containsInteger="1" minValue="1" maxValue="157"/>
    </cacheField>
    <cacheField name="1、性别" numFmtId="0">
      <sharedItems containsString="0" containsBlank="1" containsNumber="1" containsInteger="1" minValue="1" maxValue="2"/>
    </cacheField>
    <cacheField name="male" numFmtId="0">
      <sharedItems containsBlank="1"/>
    </cacheField>
    <cacheField name="expense" numFmtId="0">
      <sharedItems containsString="0" containsBlank="1" containsNumber="1" containsInteger="1" minValue="800" maxValue="73600"/>
    </cacheField>
    <cacheField name="mobile" numFmtId="0">
      <sharedItems containsString="0" containsBlank="1" containsNumber="1" containsInteger="1" minValue="1200" maxValue="13999"/>
    </cacheField>
    <cacheField name="laptop" numFmtId="0">
      <sharedItems containsString="0" containsBlank="1" containsNumber="1" containsInteger="1" minValue="0" maxValue="32000"/>
    </cacheField>
    <cacheField name="usage_month" numFmtId="0">
      <sharedItems containsString="0" containsBlank="1" containsNumber="1" containsInteger="1" minValue="0" maxValue="62"/>
    </cacheField>
    <cacheField name="6、您认为自己最接近哪类用户？ " numFmtId="0">
      <sharedItems containsString="0" containsBlank="1" containsNumber="1" containsInteger="1" minValue="1" maxValue="4" count="5">
        <n v="1"/>
        <n v="2"/>
        <n v="4"/>
        <n v="3"/>
        <m/>
      </sharedItems>
    </cacheField>
    <cacheField name="7、在购买笔记本电脑时，您最看重或倾向于选择哪类品牌：" numFmtId="0">
      <sharedItems containsString="0" containsBlank="1" containsNumber="1" containsInteger="1" minValue="1" maxValue="4" count="5">
        <n v="4"/>
        <n v="2"/>
        <n v="3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n v="1"/>
    <n v="1"/>
    <s v="male"/>
    <n v="2000"/>
    <n v="5000"/>
    <n v="6000"/>
    <n v="20"/>
    <x v="0"/>
    <x v="0"/>
  </r>
  <r>
    <n v="2"/>
    <n v="1"/>
    <s v="male"/>
    <n v="1500"/>
    <n v="2400"/>
    <n v="5700"/>
    <n v="1"/>
    <x v="1"/>
    <x v="1"/>
  </r>
  <r>
    <n v="3"/>
    <n v="1"/>
    <s v="male"/>
    <n v="1000"/>
    <n v="2500"/>
    <n v="8000"/>
    <n v="18"/>
    <x v="0"/>
    <x v="2"/>
  </r>
  <r>
    <n v="4"/>
    <n v="1"/>
    <s v="male"/>
    <n v="2000"/>
    <n v="7999"/>
    <n v="11999"/>
    <n v="6"/>
    <x v="2"/>
    <x v="3"/>
  </r>
  <r>
    <n v="5"/>
    <n v="2"/>
    <s v="female"/>
    <n v="2000"/>
    <n v="3100"/>
    <n v="5999"/>
    <n v="18"/>
    <x v="2"/>
    <x v="2"/>
  </r>
  <r>
    <n v="6"/>
    <n v="1"/>
    <s v="male"/>
    <n v="2500"/>
    <n v="5988"/>
    <n v="7800"/>
    <n v="2"/>
    <x v="0"/>
    <x v="1"/>
  </r>
  <r>
    <n v="7"/>
    <n v="2"/>
    <s v="female"/>
    <n v="800"/>
    <n v="2100"/>
    <n v="6400"/>
    <n v="19"/>
    <x v="2"/>
    <x v="0"/>
  </r>
  <r>
    <n v="8"/>
    <n v="2"/>
    <s v="female"/>
    <n v="2500"/>
    <n v="3900"/>
    <n v="8000"/>
    <n v="20"/>
    <x v="2"/>
    <x v="1"/>
  </r>
  <r>
    <n v="9"/>
    <n v="1"/>
    <s v="male"/>
    <n v="1500"/>
    <n v="2100"/>
    <n v="6400"/>
    <n v="13"/>
    <x v="0"/>
    <x v="1"/>
  </r>
  <r>
    <n v="10"/>
    <n v="1"/>
    <s v="male"/>
    <n v="2500"/>
    <n v="9900"/>
    <n v="7800"/>
    <n v="4"/>
    <x v="2"/>
    <x v="2"/>
  </r>
  <r>
    <n v="11"/>
    <n v="1"/>
    <s v="male"/>
    <n v="2000"/>
    <n v="5500"/>
    <n v="6000"/>
    <n v="20"/>
    <x v="2"/>
    <x v="1"/>
  </r>
  <r>
    <n v="12"/>
    <n v="1"/>
    <s v="male"/>
    <n v="2000"/>
    <n v="6000"/>
    <n v="7000"/>
    <n v="18"/>
    <x v="0"/>
    <x v="2"/>
  </r>
  <r>
    <n v="13"/>
    <n v="2"/>
    <s v="female"/>
    <n v="2700"/>
    <n v="7999"/>
    <n v="6500"/>
    <n v="6"/>
    <x v="2"/>
    <x v="1"/>
  </r>
  <r>
    <n v="14"/>
    <n v="2"/>
    <s v="female"/>
    <n v="1500"/>
    <n v="2000"/>
    <n v="5000"/>
    <n v="17"/>
    <x v="0"/>
    <x v="1"/>
  </r>
  <r>
    <n v="15"/>
    <n v="2"/>
    <s v="female"/>
    <n v="2500"/>
    <n v="10000"/>
    <n v="0"/>
    <n v="0"/>
    <x v="3"/>
    <x v="1"/>
  </r>
  <r>
    <n v="16"/>
    <n v="2"/>
    <s v="female"/>
    <n v="2000"/>
    <n v="5199"/>
    <n v="8999"/>
    <n v="6"/>
    <x v="2"/>
    <x v="0"/>
  </r>
  <r>
    <n v="17"/>
    <n v="2"/>
    <s v="female"/>
    <n v="1500"/>
    <n v="8000"/>
    <n v="6000"/>
    <n v="18"/>
    <x v="2"/>
    <x v="1"/>
  </r>
  <r>
    <n v="18"/>
    <n v="1"/>
    <s v="male"/>
    <n v="2500"/>
    <n v="3000"/>
    <n v="8000"/>
    <n v="19"/>
    <x v="0"/>
    <x v="0"/>
  </r>
  <r>
    <n v="19"/>
    <n v="2"/>
    <s v="female"/>
    <n v="2500"/>
    <n v="5690"/>
    <n v="5999"/>
    <n v="20"/>
    <x v="2"/>
    <x v="1"/>
  </r>
  <r>
    <n v="20"/>
    <n v="2"/>
    <s v="female"/>
    <n v="2000"/>
    <n v="5500"/>
    <n v="7500"/>
    <n v="18"/>
    <x v="2"/>
    <x v="1"/>
  </r>
  <r>
    <n v="21"/>
    <n v="2"/>
    <s v="female"/>
    <n v="1500"/>
    <n v="3000"/>
    <n v="7000"/>
    <n v="15"/>
    <x v="2"/>
    <x v="1"/>
  </r>
  <r>
    <n v="22"/>
    <n v="2"/>
    <s v="female"/>
    <n v="1500"/>
    <n v="6000"/>
    <n v="7000"/>
    <n v="18"/>
    <x v="2"/>
    <x v="1"/>
  </r>
  <r>
    <n v="23"/>
    <n v="2"/>
    <s v="female"/>
    <n v="1700"/>
    <n v="3900"/>
    <n v="4300"/>
    <n v="18"/>
    <x v="2"/>
    <x v="1"/>
  </r>
  <r>
    <n v="24"/>
    <n v="2"/>
    <s v="female"/>
    <n v="2500"/>
    <n v="10000"/>
    <n v="6300"/>
    <n v="36"/>
    <x v="2"/>
    <x v="1"/>
  </r>
  <r>
    <n v="25"/>
    <n v="2"/>
    <s v="female"/>
    <n v="2200"/>
    <n v="2900"/>
    <n v="5100"/>
    <n v="17"/>
    <x v="0"/>
    <x v="0"/>
  </r>
  <r>
    <n v="26"/>
    <n v="2"/>
    <s v="female"/>
    <n v="1500"/>
    <n v="6000"/>
    <n v="7000"/>
    <n v="62"/>
    <x v="2"/>
    <x v="1"/>
  </r>
  <r>
    <n v="27"/>
    <n v="1"/>
    <s v="male"/>
    <n v="2000"/>
    <n v="3400"/>
    <n v="5600"/>
    <n v="6"/>
    <x v="2"/>
    <x v="1"/>
  </r>
  <r>
    <n v="28"/>
    <n v="2"/>
    <s v="female"/>
    <n v="2000"/>
    <n v="5999"/>
    <n v="6789"/>
    <n v="24"/>
    <x v="0"/>
    <x v="2"/>
  </r>
  <r>
    <n v="29"/>
    <n v="2"/>
    <s v="female"/>
    <n v="2000"/>
    <n v="3200"/>
    <n v="5400"/>
    <n v="18"/>
    <x v="1"/>
    <x v="2"/>
  </r>
  <r>
    <n v="30"/>
    <n v="2"/>
    <s v="female"/>
    <n v="2000"/>
    <n v="5499"/>
    <n v="5320"/>
    <n v="17"/>
    <x v="0"/>
    <x v="1"/>
  </r>
  <r>
    <n v="31"/>
    <n v="2"/>
    <s v="female"/>
    <n v="2000"/>
    <n v="1800"/>
    <n v="3000"/>
    <n v="15"/>
    <x v="3"/>
    <x v="0"/>
  </r>
  <r>
    <n v="32"/>
    <n v="2"/>
    <s v="female"/>
    <n v="1800"/>
    <n v="3400"/>
    <n v="4000"/>
    <n v="41"/>
    <x v="2"/>
    <x v="1"/>
  </r>
  <r>
    <n v="33"/>
    <n v="1"/>
    <s v="male"/>
    <n v="1500"/>
    <n v="3700"/>
    <n v="6500"/>
    <n v="20"/>
    <x v="0"/>
    <x v="2"/>
  </r>
  <r>
    <n v="34"/>
    <n v="2"/>
    <s v="female"/>
    <n v="3000"/>
    <n v="10999"/>
    <n v="6199"/>
    <n v="4"/>
    <x v="2"/>
    <x v="1"/>
  </r>
  <r>
    <n v="35"/>
    <n v="2"/>
    <s v="female"/>
    <n v="1500"/>
    <n v="7900"/>
    <n v="4500"/>
    <n v="19"/>
    <x v="2"/>
    <x v="1"/>
  </r>
  <r>
    <n v="36"/>
    <n v="2"/>
    <s v="female"/>
    <n v="1700"/>
    <n v="2500"/>
    <n v="5000"/>
    <n v="30"/>
    <x v="1"/>
    <x v="0"/>
  </r>
  <r>
    <n v="37"/>
    <n v="2"/>
    <s v="female"/>
    <n v="2000"/>
    <n v="4500"/>
    <n v="6700"/>
    <n v="18"/>
    <x v="2"/>
    <x v="0"/>
  </r>
  <r>
    <n v="38"/>
    <n v="2"/>
    <s v="female"/>
    <n v="1600"/>
    <n v="6000"/>
    <n v="6000"/>
    <n v="18"/>
    <x v="3"/>
    <x v="1"/>
  </r>
  <r>
    <n v="39"/>
    <n v="2"/>
    <s v="female"/>
    <n v="2000"/>
    <n v="7500"/>
    <n v="4700"/>
    <n v="12"/>
    <x v="0"/>
    <x v="0"/>
  </r>
  <r>
    <n v="40"/>
    <n v="2"/>
    <s v="female"/>
    <n v="1500"/>
    <n v="5000"/>
    <n v="3000"/>
    <n v="24"/>
    <x v="2"/>
    <x v="1"/>
  </r>
  <r>
    <n v="41"/>
    <n v="1"/>
    <s v="male"/>
    <n v="2000"/>
    <n v="5300"/>
    <n v="5000"/>
    <n v="12"/>
    <x v="0"/>
    <x v="0"/>
  </r>
  <r>
    <n v="42"/>
    <n v="1"/>
    <s v="male"/>
    <n v="2000"/>
    <n v="4500"/>
    <n v="7299"/>
    <n v="18"/>
    <x v="0"/>
    <x v="1"/>
  </r>
  <r>
    <n v="43"/>
    <n v="2"/>
    <s v="female"/>
    <n v="7000"/>
    <n v="2390"/>
    <n v="6600"/>
    <n v="9"/>
    <x v="2"/>
    <x v="1"/>
  </r>
  <r>
    <n v="44"/>
    <n v="2"/>
    <s v="female"/>
    <n v="2000"/>
    <n v="7000"/>
    <n v="6500"/>
    <n v="18"/>
    <x v="0"/>
    <x v="3"/>
  </r>
  <r>
    <n v="45"/>
    <n v="2"/>
    <s v="female"/>
    <n v="1800"/>
    <n v="4900"/>
    <n v="6900"/>
    <n v="19"/>
    <x v="2"/>
    <x v="1"/>
  </r>
  <r>
    <n v="46"/>
    <n v="2"/>
    <s v="female"/>
    <n v="1400"/>
    <n v="2450"/>
    <n v="7800"/>
    <n v="12"/>
    <x v="2"/>
    <x v="1"/>
  </r>
  <r>
    <n v="47"/>
    <n v="1"/>
    <s v="male"/>
    <n v="1000"/>
    <n v="2200"/>
    <n v="6200"/>
    <n v="21"/>
    <x v="0"/>
    <x v="1"/>
  </r>
  <r>
    <n v="48"/>
    <n v="2"/>
    <s v="female"/>
    <n v="2000"/>
    <n v="5600"/>
    <n v="5800"/>
    <n v="20"/>
    <x v="2"/>
    <x v="1"/>
  </r>
  <r>
    <n v="49"/>
    <n v="2"/>
    <s v="female"/>
    <n v="2000"/>
    <n v="7000"/>
    <n v="3500"/>
    <n v="19"/>
    <x v="2"/>
    <x v="1"/>
  </r>
  <r>
    <n v="50"/>
    <n v="2"/>
    <s v="female"/>
    <n v="1000"/>
    <n v="2200"/>
    <n v="4500"/>
    <n v="18"/>
    <x v="2"/>
    <x v="1"/>
  </r>
  <r>
    <n v="51"/>
    <n v="1"/>
    <s v="male"/>
    <n v="1500"/>
    <n v="1200"/>
    <n v="5500"/>
    <n v="6"/>
    <x v="2"/>
    <x v="1"/>
  </r>
  <r>
    <n v="52"/>
    <n v="2"/>
    <s v="female"/>
    <n v="2000"/>
    <n v="6499"/>
    <n v="7999"/>
    <n v="18"/>
    <x v="0"/>
    <x v="2"/>
  </r>
  <r>
    <n v="53"/>
    <n v="2"/>
    <s v="female"/>
    <n v="2000"/>
    <n v="8700"/>
    <n v="9300"/>
    <n v="26"/>
    <x v="3"/>
    <x v="2"/>
  </r>
  <r>
    <n v="54"/>
    <n v="2"/>
    <s v="female"/>
    <n v="4000"/>
    <n v="3599"/>
    <n v="4099"/>
    <n v="36"/>
    <x v="2"/>
    <x v="1"/>
  </r>
  <r>
    <n v="55"/>
    <n v="2"/>
    <s v="female"/>
    <n v="32679"/>
    <n v="3105"/>
    <n v="4200"/>
    <n v="12"/>
    <x v="2"/>
    <x v="1"/>
  </r>
  <r>
    <n v="56"/>
    <n v="2"/>
    <s v="female"/>
    <n v="2200"/>
    <n v="6000"/>
    <n v="6000"/>
    <n v="18"/>
    <x v="2"/>
    <x v="1"/>
  </r>
  <r>
    <n v="57"/>
    <n v="2"/>
    <s v="female"/>
    <n v="2000"/>
    <n v="1200"/>
    <n v="2900"/>
    <n v="10"/>
    <x v="2"/>
    <x v="1"/>
  </r>
  <r>
    <n v="58"/>
    <n v="2"/>
    <s v="female"/>
    <n v="1500"/>
    <n v="2200"/>
    <n v="4600"/>
    <n v="6"/>
    <x v="2"/>
    <x v="1"/>
  </r>
  <r>
    <n v="59"/>
    <n v="2"/>
    <s v="female"/>
    <n v="1800"/>
    <n v="2100"/>
    <n v="3197"/>
    <n v="19"/>
    <x v="2"/>
    <x v="0"/>
  </r>
  <r>
    <n v="60"/>
    <n v="2"/>
    <s v="female"/>
    <n v="2300"/>
    <n v="7000"/>
    <n v="4000"/>
    <n v="20"/>
    <x v="2"/>
    <x v="1"/>
  </r>
  <r>
    <n v="61"/>
    <n v="2"/>
    <s v="female"/>
    <n v="2500"/>
    <n v="7999"/>
    <n v="3999"/>
    <n v="36"/>
    <x v="2"/>
    <x v="1"/>
  </r>
  <r>
    <n v="62"/>
    <n v="2"/>
    <s v="female"/>
    <n v="1600"/>
    <n v="3900"/>
    <n v="6000"/>
    <n v="13"/>
    <x v="2"/>
    <x v="2"/>
  </r>
  <r>
    <n v="63"/>
    <n v="2"/>
    <s v="female"/>
    <n v="2000"/>
    <n v="7000"/>
    <n v="8000"/>
    <n v="24"/>
    <x v="2"/>
    <x v="0"/>
  </r>
  <r>
    <n v="64"/>
    <n v="2"/>
    <s v="female"/>
    <n v="1800"/>
    <n v="2600"/>
    <n v="10000"/>
    <n v="24"/>
    <x v="3"/>
    <x v="1"/>
  </r>
  <r>
    <n v="65"/>
    <n v="2"/>
    <s v="female"/>
    <n v="1800"/>
    <n v="4500"/>
    <n v="5500"/>
    <n v="14"/>
    <x v="2"/>
    <x v="1"/>
  </r>
  <r>
    <n v="66"/>
    <n v="2"/>
    <s v="female"/>
    <n v="1600"/>
    <n v="1700"/>
    <n v="1800"/>
    <n v="16"/>
    <x v="2"/>
    <x v="1"/>
  </r>
  <r>
    <n v="67"/>
    <n v="1"/>
    <s v="male"/>
    <n v="2200"/>
    <n v="2400"/>
    <n v="8500"/>
    <n v="16"/>
    <x v="0"/>
    <x v="1"/>
  </r>
  <r>
    <n v="68"/>
    <n v="2"/>
    <s v="female"/>
    <n v="2500"/>
    <n v="5299"/>
    <n v="9600"/>
    <n v="21"/>
    <x v="2"/>
    <x v="3"/>
  </r>
  <r>
    <n v="69"/>
    <n v="2"/>
    <s v="female"/>
    <n v="1500"/>
    <n v="2300"/>
    <n v="3000"/>
    <n v="18"/>
    <x v="2"/>
    <x v="1"/>
  </r>
  <r>
    <n v="70"/>
    <n v="2"/>
    <s v="female"/>
    <n v="1000"/>
    <n v="3499"/>
    <n v="4400"/>
    <n v="18"/>
    <x v="2"/>
    <x v="1"/>
  </r>
  <r>
    <n v="71"/>
    <n v="2"/>
    <s v="female"/>
    <n v="800"/>
    <n v="5499"/>
    <n v="8999"/>
    <n v="14"/>
    <x v="2"/>
    <x v="1"/>
  </r>
  <r>
    <n v="72"/>
    <n v="2"/>
    <s v="female"/>
    <n v="1500"/>
    <n v="6000"/>
    <n v="6000"/>
    <n v="12"/>
    <x v="2"/>
    <x v="0"/>
  </r>
  <r>
    <n v="73"/>
    <n v="2"/>
    <s v="female"/>
    <n v="1500"/>
    <n v="1800"/>
    <n v="0"/>
    <n v="0"/>
    <x v="2"/>
    <x v="1"/>
  </r>
  <r>
    <n v="74"/>
    <n v="1"/>
    <s v="male"/>
    <n v="1500"/>
    <n v="1600"/>
    <n v="6500"/>
    <n v="15"/>
    <x v="0"/>
    <x v="2"/>
  </r>
  <r>
    <n v="75"/>
    <n v="2"/>
    <s v="female"/>
    <n v="2000"/>
    <n v="5500"/>
    <n v="5000"/>
    <n v="18"/>
    <x v="2"/>
    <x v="1"/>
  </r>
  <r>
    <n v="76"/>
    <n v="2"/>
    <s v="female"/>
    <n v="10000"/>
    <n v="1700"/>
    <n v="4900"/>
    <n v="19"/>
    <x v="2"/>
    <x v="0"/>
  </r>
  <r>
    <n v="77"/>
    <n v="2"/>
    <s v="female"/>
    <n v="2700"/>
    <n v="5800"/>
    <n v="5400"/>
    <n v="30"/>
    <x v="2"/>
    <x v="3"/>
  </r>
  <r>
    <n v="78"/>
    <n v="2"/>
    <s v="female"/>
    <n v="1500"/>
    <n v="5000"/>
    <n v="5000"/>
    <n v="12"/>
    <x v="2"/>
    <x v="1"/>
  </r>
  <r>
    <n v="79"/>
    <n v="2"/>
    <s v="female"/>
    <n v="2500"/>
    <n v="6999"/>
    <n v="7688"/>
    <n v="12"/>
    <x v="0"/>
    <x v="1"/>
  </r>
  <r>
    <n v="80"/>
    <n v="2"/>
    <s v="female"/>
    <n v="1500"/>
    <n v="2500"/>
    <n v="3800"/>
    <n v="12"/>
    <x v="2"/>
    <x v="1"/>
  </r>
  <r>
    <n v="81"/>
    <n v="2"/>
    <s v="female"/>
    <n v="1500"/>
    <n v="2000"/>
    <n v="2000"/>
    <n v="24"/>
    <x v="2"/>
    <x v="0"/>
  </r>
  <r>
    <n v="82"/>
    <n v="2"/>
    <s v="female"/>
    <n v="2700"/>
    <n v="6999"/>
    <n v="4988"/>
    <n v="18"/>
    <x v="2"/>
    <x v="1"/>
  </r>
  <r>
    <n v="83"/>
    <n v="2"/>
    <s v="female"/>
    <n v="2000"/>
    <n v="3000"/>
    <n v="4000"/>
    <n v="18"/>
    <x v="2"/>
    <x v="0"/>
  </r>
  <r>
    <n v="84"/>
    <n v="2"/>
    <s v="female"/>
    <n v="2000"/>
    <n v="8900"/>
    <n v="5000"/>
    <n v="18"/>
    <x v="2"/>
    <x v="1"/>
  </r>
  <r>
    <n v="85"/>
    <n v="2"/>
    <s v="female"/>
    <n v="2400"/>
    <n v="4200"/>
    <n v="8000"/>
    <n v="36"/>
    <x v="0"/>
    <x v="2"/>
  </r>
  <r>
    <n v="86"/>
    <n v="2"/>
    <s v="female"/>
    <n v="2300"/>
    <n v="1600"/>
    <n v="3600"/>
    <n v="48"/>
    <x v="3"/>
    <x v="0"/>
  </r>
  <r>
    <n v="87"/>
    <n v="2"/>
    <s v="female"/>
    <n v="1300"/>
    <n v="3300"/>
    <n v="2300"/>
    <n v="6"/>
    <x v="1"/>
    <x v="1"/>
  </r>
  <r>
    <n v="88"/>
    <n v="2"/>
    <s v="female"/>
    <n v="2300"/>
    <n v="5100"/>
    <n v="3800"/>
    <n v="17"/>
    <x v="2"/>
    <x v="1"/>
  </r>
  <r>
    <n v="89"/>
    <n v="2"/>
    <s v="female"/>
    <n v="2000"/>
    <n v="2500"/>
    <n v="4400"/>
    <n v="15"/>
    <x v="2"/>
    <x v="1"/>
  </r>
  <r>
    <n v="90"/>
    <n v="2"/>
    <s v="female"/>
    <n v="2500"/>
    <n v="1400"/>
    <n v="2900"/>
    <n v="24"/>
    <x v="2"/>
    <x v="1"/>
  </r>
  <r>
    <n v="91"/>
    <n v="2"/>
    <s v="female"/>
    <n v="2100"/>
    <n v="3000"/>
    <n v="5000"/>
    <n v="19"/>
    <x v="2"/>
    <x v="1"/>
  </r>
  <r>
    <n v="92"/>
    <n v="2"/>
    <s v="female"/>
    <n v="1800"/>
    <n v="6100"/>
    <n v="3000"/>
    <n v="48"/>
    <x v="2"/>
    <x v="1"/>
  </r>
  <r>
    <n v="93"/>
    <n v="2"/>
    <s v="female"/>
    <n v="1500"/>
    <n v="1500"/>
    <n v="2300"/>
    <n v="20"/>
    <x v="2"/>
    <x v="0"/>
  </r>
  <r>
    <n v="94"/>
    <n v="2"/>
    <s v="female"/>
    <n v="1500"/>
    <n v="9000"/>
    <n v="5000"/>
    <n v="9"/>
    <x v="3"/>
    <x v="0"/>
  </r>
  <r>
    <n v="95"/>
    <n v="2"/>
    <s v="female"/>
    <n v="1700"/>
    <n v="2900"/>
    <n v="3700"/>
    <n v="6"/>
    <x v="2"/>
    <x v="1"/>
  </r>
  <r>
    <n v="96"/>
    <n v="2"/>
    <s v="female"/>
    <n v="18800"/>
    <n v="4900"/>
    <n v="6500"/>
    <n v="24"/>
    <x v="2"/>
    <x v="1"/>
  </r>
  <r>
    <n v="97"/>
    <n v="2"/>
    <s v="female"/>
    <n v="2000"/>
    <n v="3300"/>
    <n v="5500"/>
    <n v="24"/>
    <x v="0"/>
    <x v="1"/>
  </r>
  <r>
    <n v="98"/>
    <n v="2"/>
    <s v="female"/>
    <n v="1500"/>
    <n v="12999"/>
    <n v="3000"/>
    <n v="18"/>
    <x v="3"/>
    <x v="1"/>
  </r>
  <r>
    <n v="99"/>
    <n v="2"/>
    <s v="female"/>
    <n v="1000"/>
    <n v="2600"/>
    <n v="4299"/>
    <n v="5"/>
    <x v="2"/>
    <x v="1"/>
  </r>
  <r>
    <n v="100"/>
    <n v="2"/>
    <s v="female"/>
    <n v="1500"/>
    <n v="2700"/>
    <n v="3200"/>
    <n v="18"/>
    <x v="2"/>
    <x v="1"/>
  </r>
  <r>
    <n v="101"/>
    <n v="2"/>
    <s v="female"/>
    <n v="1600"/>
    <n v="6000"/>
    <n v="7000"/>
    <n v="20"/>
    <x v="2"/>
    <x v="1"/>
  </r>
  <r>
    <n v="102"/>
    <n v="1"/>
    <s v="male"/>
    <n v="2200"/>
    <n v="4000"/>
    <n v="8000"/>
    <n v="6"/>
    <x v="2"/>
    <x v="1"/>
  </r>
  <r>
    <n v="103"/>
    <n v="1"/>
    <s v="male"/>
    <n v="1511"/>
    <n v="6115"/>
    <n v="6715"/>
    <n v="18"/>
    <x v="0"/>
    <x v="3"/>
  </r>
  <r>
    <n v="104"/>
    <n v="1"/>
    <s v="male"/>
    <n v="1500"/>
    <n v="1614"/>
    <n v="2599"/>
    <n v="13"/>
    <x v="2"/>
    <x v="0"/>
  </r>
  <r>
    <n v="105"/>
    <n v="2"/>
    <s v="female"/>
    <n v="2500"/>
    <n v="7799"/>
    <n v="8599"/>
    <n v="8"/>
    <x v="3"/>
    <x v="3"/>
  </r>
  <r>
    <n v="106"/>
    <n v="2"/>
    <s v="female"/>
    <n v="2500"/>
    <n v="8100"/>
    <n v="7200"/>
    <n v="6"/>
    <x v="2"/>
    <x v="1"/>
  </r>
  <r>
    <n v="107"/>
    <n v="1"/>
    <s v="male"/>
    <n v="2200"/>
    <n v="5800"/>
    <n v="6000"/>
    <n v="18"/>
    <x v="2"/>
    <x v="0"/>
  </r>
  <r>
    <n v="108"/>
    <n v="1"/>
    <s v="male"/>
    <n v="3000"/>
    <n v="6000"/>
    <n v="8000"/>
    <n v="9"/>
    <x v="0"/>
    <x v="2"/>
  </r>
  <r>
    <n v="109"/>
    <n v="2"/>
    <s v="female"/>
    <n v="3000"/>
    <n v="5000"/>
    <n v="7000"/>
    <n v="6"/>
    <x v="2"/>
    <x v="3"/>
  </r>
  <r>
    <n v="110"/>
    <n v="2"/>
    <s v="female"/>
    <n v="2000"/>
    <n v="8600"/>
    <n v="5000"/>
    <n v="13"/>
    <x v="2"/>
    <x v="1"/>
  </r>
  <r>
    <n v="111"/>
    <n v="2"/>
    <s v="female"/>
    <n v="3500"/>
    <n v="12000"/>
    <n v="32000"/>
    <n v="6"/>
    <x v="2"/>
    <x v="3"/>
  </r>
  <r>
    <n v="112"/>
    <n v="2"/>
    <s v="female"/>
    <n v="1900"/>
    <n v="9999"/>
    <n v="11999"/>
    <n v="4"/>
    <x v="0"/>
    <x v="1"/>
  </r>
  <r>
    <n v="113"/>
    <n v="2"/>
    <s v="female"/>
    <n v="4000"/>
    <n v="8699"/>
    <n v="4500"/>
    <n v="42"/>
    <x v="2"/>
    <x v="3"/>
  </r>
  <r>
    <n v="114"/>
    <n v="2"/>
    <s v="female"/>
    <n v="30000"/>
    <n v="9000"/>
    <n v="10000"/>
    <n v="6"/>
    <x v="2"/>
    <x v="3"/>
  </r>
  <r>
    <n v="115"/>
    <n v="2"/>
    <s v="female"/>
    <n v="5000"/>
    <n v="10000"/>
    <n v="8000"/>
    <n v="36"/>
    <x v="2"/>
    <x v="3"/>
  </r>
  <r>
    <n v="116"/>
    <n v="2"/>
    <s v="female"/>
    <n v="2500"/>
    <n v="5500"/>
    <n v="4500"/>
    <n v="4"/>
    <x v="2"/>
    <x v="1"/>
  </r>
  <r>
    <n v="117"/>
    <n v="2"/>
    <s v="female"/>
    <n v="2500"/>
    <n v="9299"/>
    <n v="6255"/>
    <n v="12"/>
    <x v="2"/>
    <x v="1"/>
  </r>
  <r>
    <n v="118"/>
    <n v="2"/>
    <s v="female"/>
    <n v="2500"/>
    <n v="7600"/>
    <n v="8500"/>
    <n v="6"/>
    <x v="1"/>
    <x v="3"/>
  </r>
  <r>
    <n v="119"/>
    <n v="2"/>
    <s v="female"/>
    <n v="5500"/>
    <n v="13999"/>
    <n v="10000"/>
    <n v="6"/>
    <x v="2"/>
    <x v="3"/>
  </r>
  <r>
    <n v="120"/>
    <n v="2"/>
    <s v="female"/>
    <n v="3500"/>
    <n v="8000"/>
    <n v="6000"/>
    <n v="9"/>
    <x v="2"/>
    <x v="3"/>
  </r>
  <r>
    <n v="121"/>
    <n v="1"/>
    <s v="male"/>
    <n v="3000"/>
    <n v="8999"/>
    <n v="9599"/>
    <n v="8"/>
    <x v="0"/>
    <x v="1"/>
  </r>
  <r>
    <n v="122"/>
    <n v="2"/>
    <s v="female"/>
    <n v="3000"/>
    <n v="12000"/>
    <n v="6399"/>
    <n v="8"/>
    <x v="2"/>
    <x v="1"/>
  </r>
  <r>
    <n v="123"/>
    <n v="2"/>
    <s v="female"/>
    <n v="2500"/>
    <n v="1500"/>
    <n v="7699"/>
    <n v="6"/>
    <x v="2"/>
    <x v="1"/>
  </r>
  <r>
    <n v="124"/>
    <n v="1"/>
    <s v="male"/>
    <n v="3000"/>
    <n v="4000"/>
    <n v="9000"/>
    <n v="6"/>
    <x v="0"/>
    <x v="2"/>
  </r>
  <r>
    <n v="125"/>
    <n v="2"/>
    <s v="female"/>
    <n v="15000"/>
    <n v="5100"/>
    <n v="5300"/>
    <n v="8"/>
    <x v="2"/>
    <x v="3"/>
  </r>
  <r>
    <n v="126"/>
    <n v="2"/>
    <s v="female"/>
    <n v="3000"/>
    <n v="6900"/>
    <n v="5600"/>
    <n v="18"/>
    <x v="2"/>
    <x v="1"/>
  </r>
  <r>
    <n v="127"/>
    <n v="1"/>
    <s v="male"/>
    <n v="1500"/>
    <n v="1208"/>
    <n v="9900"/>
    <n v="19"/>
    <x v="2"/>
    <x v="1"/>
  </r>
  <r>
    <n v="128"/>
    <n v="2"/>
    <s v="female"/>
    <n v="2500"/>
    <n v="2999"/>
    <n v="6600"/>
    <n v="7"/>
    <x v="0"/>
    <x v="2"/>
  </r>
  <r>
    <n v="129"/>
    <n v="1"/>
    <s v="male"/>
    <n v="1500"/>
    <n v="7999"/>
    <n v="5600"/>
    <n v="6"/>
    <x v="0"/>
    <x v="1"/>
  </r>
  <r>
    <n v="130"/>
    <n v="2"/>
    <s v="female"/>
    <n v="2000"/>
    <n v="3200"/>
    <n v="5500"/>
    <n v="6"/>
    <x v="2"/>
    <x v="1"/>
  </r>
  <r>
    <n v="131"/>
    <n v="2"/>
    <s v="female"/>
    <n v="1500"/>
    <n v="6000"/>
    <n v="7500"/>
    <n v="2"/>
    <x v="3"/>
    <x v="2"/>
  </r>
  <r>
    <n v="132"/>
    <n v="2"/>
    <s v="female"/>
    <n v="2500"/>
    <n v="5999"/>
    <n v="3599"/>
    <n v="4"/>
    <x v="2"/>
    <x v="3"/>
  </r>
  <r>
    <n v="133"/>
    <n v="1"/>
    <s v="male"/>
    <n v="2400"/>
    <n v="10000"/>
    <n v="10000"/>
    <n v="16"/>
    <x v="0"/>
    <x v="2"/>
  </r>
  <r>
    <n v="134"/>
    <n v="1"/>
    <s v="male"/>
    <n v="2200"/>
    <n v="2600"/>
    <n v="10000"/>
    <n v="6"/>
    <x v="0"/>
    <x v="0"/>
  </r>
  <r>
    <n v="135"/>
    <n v="2"/>
    <s v="female"/>
    <n v="5500"/>
    <n v="12500"/>
    <n v="7500"/>
    <n v="6"/>
    <x v="2"/>
    <x v="1"/>
  </r>
  <r>
    <n v="136"/>
    <n v="1"/>
    <s v="male"/>
    <n v="2500"/>
    <n v="6099"/>
    <n v="8999"/>
    <n v="6"/>
    <x v="0"/>
    <x v="1"/>
  </r>
  <r>
    <n v="137"/>
    <n v="1"/>
    <s v="male"/>
    <n v="2000"/>
    <n v="9900"/>
    <n v="16900"/>
    <n v="6"/>
    <x v="0"/>
    <x v="2"/>
  </r>
  <r>
    <n v="138"/>
    <n v="2"/>
    <s v="female"/>
    <n v="2200"/>
    <n v="5999"/>
    <n v="5200"/>
    <n v="6"/>
    <x v="2"/>
    <x v="1"/>
  </r>
  <r>
    <n v="139"/>
    <n v="2"/>
    <s v="female"/>
    <n v="3000"/>
    <n v="12800"/>
    <n v="10800"/>
    <n v="6"/>
    <x v="2"/>
    <x v="3"/>
  </r>
  <r>
    <n v="140"/>
    <n v="2"/>
    <s v="female"/>
    <n v="2500"/>
    <n v="9799"/>
    <n v="10500"/>
    <n v="6"/>
    <x v="2"/>
    <x v="3"/>
  </r>
  <r>
    <n v="141"/>
    <n v="2"/>
    <s v="female"/>
    <n v="3500"/>
    <n v="9999"/>
    <n v="13000"/>
    <n v="6"/>
    <x v="0"/>
    <x v="2"/>
  </r>
  <r>
    <n v="142"/>
    <n v="2"/>
    <s v="female"/>
    <n v="8000"/>
    <n v="9000"/>
    <n v="10000"/>
    <n v="7"/>
    <x v="2"/>
    <x v="3"/>
  </r>
  <r>
    <n v="143"/>
    <n v="2"/>
    <s v="female"/>
    <n v="4200"/>
    <n v="3500"/>
    <n v="7500"/>
    <n v="4"/>
    <x v="1"/>
    <x v="2"/>
  </r>
  <r>
    <n v="144"/>
    <n v="2"/>
    <s v="female"/>
    <n v="2000"/>
    <n v="2900"/>
    <n v="4800"/>
    <n v="1"/>
    <x v="2"/>
    <x v="1"/>
  </r>
  <r>
    <n v="145"/>
    <n v="1"/>
    <s v="male"/>
    <n v="2000"/>
    <n v="5000"/>
    <n v="12000"/>
    <n v="4"/>
    <x v="0"/>
    <x v="2"/>
  </r>
  <r>
    <n v="146"/>
    <n v="1"/>
    <s v="male"/>
    <n v="2200"/>
    <n v="3400"/>
    <n v="5500"/>
    <n v="15"/>
    <x v="2"/>
    <x v="1"/>
  </r>
  <r>
    <n v="147"/>
    <n v="2"/>
    <s v="female"/>
    <n v="2000"/>
    <n v="2200"/>
    <n v="2300"/>
    <n v="6"/>
    <x v="1"/>
    <x v="0"/>
  </r>
  <r>
    <n v="148"/>
    <n v="2"/>
    <s v="female"/>
    <n v="2500"/>
    <n v="6000"/>
    <n v="5679"/>
    <n v="6"/>
    <x v="2"/>
    <x v="1"/>
  </r>
  <r>
    <n v="149"/>
    <n v="2"/>
    <s v="female"/>
    <n v="3000"/>
    <n v="9000"/>
    <n v="7400"/>
    <n v="8"/>
    <x v="2"/>
    <x v="1"/>
  </r>
  <r>
    <n v="150"/>
    <n v="1"/>
    <s v="male"/>
    <n v="2000"/>
    <n v="6800"/>
    <n v="4800"/>
    <n v="42"/>
    <x v="2"/>
    <x v="3"/>
  </r>
  <r>
    <n v="151"/>
    <n v="2"/>
    <s v="female"/>
    <n v="73600"/>
    <n v="5000"/>
    <n v="7600"/>
    <n v="6"/>
    <x v="2"/>
    <x v="3"/>
  </r>
  <r>
    <n v="152"/>
    <n v="2"/>
    <s v="female"/>
    <n v="2500"/>
    <n v="8999"/>
    <n v="5899"/>
    <n v="9"/>
    <x v="2"/>
    <x v="3"/>
  </r>
  <r>
    <n v="153"/>
    <n v="2"/>
    <s v="female"/>
    <n v="3000"/>
    <n v="13999"/>
    <n v="12499"/>
    <n v="6"/>
    <x v="2"/>
    <x v="3"/>
  </r>
  <r>
    <n v="154"/>
    <n v="2"/>
    <s v="female"/>
    <n v="3500"/>
    <n v="2500"/>
    <n v="5500"/>
    <n v="8"/>
    <x v="2"/>
    <x v="3"/>
  </r>
  <r>
    <n v="155"/>
    <n v="2"/>
    <s v="female"/>
    <n v="1000"/>
    <n v="5900"/>
    <n v="10000"/>
    <n v="6"/>
    <x v="0"/>
    <x v="2"/>
  </r>
  <r>
    <n v="156"/>
    <n v="1"/>
    <s v="male"/>
    <n v="3000"/>
    <n v="10499"/>
    <n v="12999"/>
    <n v="15"/>
    <x v="0"/>
    <x v="1"/>
  </r>
  <r>
    <n v="157"/>
    <n v="2"/>
    <s v="female"/>
    <n v="6000"/>
    <n v="3000"/>
    <n v="4705"/>
    <n v="8"/>
    <x v="2"/>
    <x v="1"/>
  </r>
  <r>
    <m/>
    <m/>
    <m/>
    <m/>
    <m/>
    <m/>
    <m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373F3-AE60-0F48-8A66-7F60ECB0948F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20:B27" firstHeaderRow="2" firstDataRow="2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3"/>
        <item x="2"/>
        <item x="4"/>
        <item t="default"/>
      </items>
    </pivotField>
    <pivotField axis="axisRow" dataField="1" compact="0" outline="0" showAll="0">
      <items count="6">
        <item x="3"/>
        <item x="1"/>
        <item x="2"/>
        <item x="0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计数项:7、在购买笔记本电脑时，您最看重或倾向于选择哪类品牌：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9D71F-AB71-154E-B457-F4D4B702161D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3:B10" firstHeaderRow="2" firstDataRow="2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0"/>
        <item x="1"/>
        <item x="3"/>
        <item x="2"/>
        <item x="4"/>
        <item t="default"/>
      </items>
    </pivotField>
    <pivotField compact="0" outline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计数项:6、您认为自己最接近哪类用户？ 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B617F-0429-704A-941D-1B2B7059B46E}">
  <dimension ref="A1:H143"/>
  <sheetViews>
    <sheetView zoomScale="200" workbookViewId="0">
      <selection sqref="A1:XFD1048576"/>
    </sheetView>
  </sheetViews>
  <sheetFormatPr baseColWidth="10" defaultRowHeight="13" x14ac:dyDescent="0.15"/>
  <cols>
    <col min="1" max="1" width="5" style="2" bestFit="1" customWidth="1"/>
    <col min="2" max="16384" width="10.83203125" style="2"/>
  </cols>
  <sheetData>
    <row r="1" spans="1:8" x14ac:dyDescent="0.15">
      <c r="A1" s="2" t="s">
        <v>455</v>
      </c>
      <c r="B1" s="2" t="s">
        <v>433</v>
      </c>
      <c r="C1" s="2" t="s">
        <v>429</v>
      </c>
      <c r="D1" s="2" t="s">
        <v>431</v>
      </c>
      <c r="E1" s="2" t="s">
        <v>435</v>
      </c>
      <c r="F1" s="2" t="s">
        <v>456</v>
      </c>
      <c r="G1" s="2" t="s">
        <v>440</v>
      </c>
      <c r="H1" s="2" t="s">
        <v>444</v>
      </c>
    </row>
    <row r="2" spans="1:8" x14ac:dyDescent="0.15">
      <c r="A2" s="2">
        <v>1</v>
      </c>
      <c r="B2" s="2">
        <v>6000</v>
      </c>
      <c r="C2" s="2">
        <v>2000</v>
      </c>
      <c r="D2" s="2">
        <v>5000</v>
      </c>
      <c r="E2" s="2">
        <v>20</v>
      </c>
      <c r="F2" s="2" t="s">
        <v>427</v>
      </c>
      <c r="G2" s="2" t="s">
        <v>448</v>
      </c>
      <c r="H2" s="2" t="s">
        <v>449</v>
      </c>
    </row>
    <row r="3" spans="1:8" x14ac:dyDescent="0.15">
      <c r="A3" s="2">
        <v>2</v>
      </c>
      <c r="B3" s="2">
        <v>5700</v>
      </c>
      <c r="C3" s="2">
        <v>1500</v>
      </c>
      <c r="D3" s="2">
        <v>2400</v>
      </c>
      <c r="E3" s="2">
        <v>1</v>
      </c>
      <c r="F3" s="2" t="s">
        <v>427</v>
      </c>
      <c r="G3" s="2" t="s">
        <v>448</v>
      </c>
      <c r="H3" s="2" t="s">
        <v>450</v>
      </c>
    </row>
    <row r="4" spans="1:8" x14ac:dyDescent="0.15">
      <c r="A4" s="2">
        <v>3</v>
      </c>
      <c r="B4" s="2">
        <v>8000</v>
      </c>
      <c r="C4" s="2">
        <v>1000</v>
      </c>
      <c r="D4" s="2">
        <v>2500</v>
      </c>
      <c r="E4" s="2">
        <v>18</v>
      </c>
      <c r="F4" s="2" t="s">
        <v>427</v>
      </c>
      <c r="G4" s="2" t="s">
        <v>448</v>
      </c>
      <c r="H4" s="2" t="s">
        <v>451</v>
      </c>
    </row>
    <row r="5" spans="1:8" x14ac:dyDescent="0.15">
      <c r="A5" s="2">
        <v>4</v>
      </c>
      <c r="B5" s="2">
        <v>11999</v>
      </c>
      <c r="C5" s="2">
        <v>2000</v>
      </c>
      <c r="D5" s="2">
        <v>7999</v>
      </c>
      <c r="E5" s="2">
        <v>6</v>
      </c>
      <c r="F5" s="2" t="s">
        <v>427</v>
      </c>
      <c r="G5" s="2" t="s">
        <v>452</v>
      </c>
      <c r="H5" s="2" t="s">
        <v>453</v>
      </c>
    </row>
    <row r="6" spans="1:8" x14ac:dyDescent="0.15">
      <c r="A6" s="2">
        <v>5</v>
      </c>
      <c r="B6" s="2">
        <v>5999</v>
      </c>
      <c r="C6" s="2">
        <v>2000</v>
      </c>
      <c r="D6" s="2">
        <v>3100</v>
      </c>
      <c r="E6" s="2">
        <v>18</v>
      </c>
      <c r="F6" s="2" t="s">
        <v>454</v>
      </c>
      <c r="G6" s="2" t="s">
        <v>452</v>
      </c>
      <c r="H6" s="2" t="s">
        <v>451</v>
      </c>
    </row>
    <row r="7" spans="1:8" x14ac:dyDescent="0.15">
      <c r="A7" s="2">
        <v>6</v>
      </c>
      <c r="B7" s="2">
        <v>7800</v>
      </c>
      <c r="C7" s="2">
        <v>2500</v>
      </c>
      <c r="D7" s="2">
        <v>5988</v>
      </c>
      <c r="E7" s="2">
        <v>2</v>
      </c>
      <c r="F7" s="2" t="s">
        <v>427</v>
      </c>
      <c r="G7" s="2" t="s">
        <v>448</v>
      </c>
      <c r="H7" s="2" t="s">
        <v>450</v>
      </c>
    </row>
    <row r="8" spans="1:8" x14ac:dyDescent="0.15">
      <c r="A8" s="2">
        <v>7</v>
      </c>
      <c r="B8" s="2">
        <v>6400</v>
      </c>
      <c r="C8" s="2">
        <v>800</v>
      </c>
      <c r="D8" s="2">
        <v>2100</v>
      </c>
      <c r="E8" s="2">
        <v>19</v>
      </c>
      <c r="F8" s="2" t="s">
        <v>454</v>
      </c>
      <c r="G8" s="2" t="s">
        <v>452</v>
      </c>
      <c r="H8" s="2" t="s">
        <v>449</v>
      </c>
    </row>
    <row r="9" spans="1:8" x14ac:dyDescent="0.15">
      <c r="A9" s="2">
        <v>8</v>
      </c>
      <c r="B9" s="2">
        <v>8000</v>
      </c>
      <c r="C9" s="2">
        <v>2500</v>
      </c>
      <c r="D9" s="2">
        <v>3900</v>
      </c>
      <c r="E9" s="2">
        <v>20</v>
      </c>
      <c r="F9" s="2" t="s">
        <v>454</v>
      </c>
      <c r="G9" s="2" t="s">
        <v>452</v>
      </c>
      <c r="H9" s="2" t="s">
        <v>450</v>
      </c>
    </row>
    <row r="10" spans="1:8" x14ac:dyDescent="0.15">
      <c r="A10" s="2">
        <v>9</v>
      </c>
      <c r="B10" s="2">
        <v>6400</v>
      </c>
      <c r="C10" s="2">
        <v>1500</v>
      </c>
      <c r="D10" s="2">
        <v>2100</v>
      </c>
      <c r="E10" s="2">
        <v>13</v>
      </c>
      <c r="F10" s="2" t="s">
        <v>427</v>
      </c>
      <c r="G10" s="2" t="s">
        <v>448</v>
      </c>
      <c r="H10" s="2" t="s">
        <v>450</v>
      </c>
    </row>
    <row r="11" spans="1:8" x14ac:dyDescent="0.15">
      <c r="A11" s="2">
        <v>10</v>
      </c>
      <c r="B11" s="2">
        <v>7800</v>
      </c>
      <c r="C11" s="2">
        <v>2500</v>
      </c>
      <c r="D11" s="2">
        <v>9900</v>
      </c>
      <c r="E11" s="2">
        <v>4</v>
      </c>
      <c r="F11" s="2" t="s">
        <v>427</v>
      </c>
      <c r="G11" s="2" t="s">
        <v>452</v>
      </c>
      <c r="H11" s="2" t="s">
        <v>451</v>
      </c>
    </row>
    <row r="12" spans="1:8" x14ac:dyDescent="0.15">
      <c r="A12" s="2">
        <v>11</v>
      </c>
      <c r="B12" s="2">
        <v>6000</v>
      </c>
      <c r="C12" s="2">
        <v>2000</v>
      </c>
      <c r="D12" s="2">
        <v>5500</v>
      </c>
      <c r="E12" s="2">
        <v>20</v>
      </c>
      <c r="F12" s="2" t="s">
        <v>427</v>
      </c>
      <c r="G12" s="2" t="s">
        <v>452</v>
      </c>
      <c r="H12" s="2" t="s">
        <v>450</v>
      </c>
    </row>
    <row r="13" spans="1:8" x14ac:dyDescent="0.15">
      <c r="A13" s="2">
        <v>12</v>
      </c>
      <c r="B13" s="2">
        <v>7000</v>
      </c>
      <c r="C13" s="2">
        <v>2000</v>
      </c>
      <c r="D13" s="2">
        <v>6000</v>
      </c>
      <c r="E13" s="2">
        <v>18</v>
      </c>
      <c r="F13" s="2" t="s">
        <v>427</v>
      </c>
      <c r="G13" s="2" t="s">
        <v>448</v>
      </c>
      <c r="H13" s="2" t="s">
        <v>451</v>
      </c>
    </row>
    <row r="14" spans="1:8" x14ac:dyDescent="0.15">
      <c r="A14" s="2">
        <v>13</v>
      </c>
      <c r="B14" s="2">
        <v>6500</v>
      </c>
      <c r="C14" s="2">
        <v>2700</v>
      </c>
      <c r="D14" s="2">
        <v>7999</v>
      </c>
      <c r="E14" s="2">
        <v>6</v>
      </c>
      <c r="F14" s="2" t="s">
        <v>454</v>
      </c>
      <c r="G14" s="2" t="s">
        <v>452</v>
      </c>
      <c r="H14" s="2" t="s">
        <v>450</v>
      </c>
    </row>
    <row r="15" spans="1:8" x14ac:dyDescent="0.15">
      <c r="A15" s="2">
        <v>14</v>
      </c>
      <c r="B15" s="2">
        <v>5000</v>
      </c>
      <c r="C15" s="2">
        <v>1500</v>
      </c>
      <c r="D15" s="2">
        <v>2000</v>
      </c>
      <c r="E15" s="2">
        <v>17</v>
      </c>
      <c r="F15" s="2" t="s">
        <v>454</v>
      </c>
      <c r="G15" s="2" t="s">
        <v>448</v>
      </c>
      <c r="H15" s="2" t="s">
        <v>450</v>
      </c>
    </row>
    <row r="16" spans="1:8" x14ac:dyDescent="0.15">
      <c r="A16" s="2">
        <v>16</v>
      </c>
      <c r="B16" s="2">
        <v>8999</v>
      </c>
      <c r="C16" s="2">
        <v>2000</v>
      </c>
      <c r="D16" s="2">
        <v>5199</v>
      </c>
      <c r="E16" s="2">
        <v>6</v>
      </c>
      <c r="F16" s="2" t="s">
        <v>454</v>
      </c>
      <c r="G16" s="2" t="s">
        <v>452</v>
      </c>
      <c r="H16" s="2" t="s">
        <v>449</v>
      </c>
    </row>
    <row r="17" spans="1:8" x14ac:dyDescent="0.15">
      <c r="A17" s="2">
        <v>17</v>
      </c>
      <c r="B17" s="2">
        <v>6000</v>
      </c>
      <c r="C17" s="2">
        <v>1500</v>
      </c>
      <c r="D17" s="2">
        <v>8000</v>
      </c>
      <c r="E17" s="2">
        <v>18</v>
      </c>
      <c r="F17" s="2" t="s">
        <v>454</v>
      </c>
      <c r="G17" s="2" t="s">
        <v>452</v>
      </c>
      <c r="H17" s="2" t="s">
        <v>450</v>
      </c>
    </row>
    <row r="18" spans="1:8" x14ac:dyDescent="0.15">
      <c r="A18" s="2">
        <v>18</v>
      </c>
      <c r="B18" s="2">
        <v>8000</v>
      </c>
      <c r="C18" s="2">
        <v>2500</v>
      </c>
      <c r="D18" s="2">
        <v>3000</v>
      </c>
      <c r="E18" s="2">
        <v>19</v>
      </c>
      <c r="F18" s="2" t="s">
        <v>427</v>
      </c>
      <c r="G18" s="2" t="s">
        <v>448</v>
      </c>
      <c r="H18" s="2" t="s">
        <v>449</v>
      </c>
    </row>
    <row r="19" spans="1:8" x14ac:dyDescent="0.15">
      <c r="A19" s="2">
        <v>19</v>
      </c>
      <c r="B19" s="2">
        <v>5999</v>
      </c>
      <c r="C19" s="2">
        <v>2500</v>
      </c>
      <c r="D19" s="2">
        <v>5690</v>
      </c>
      <c r="E19" s="2">
        <v>20</v>
      </c>
      <c r="F19" s="2" t="s">
        <v>454</v>
      </c>
      <c r="G19" s="2" t="s">
        <v>452</v>
      </c>
      <c r="H19" s="2" t="s">
        <v>450</v>
      </c>
    </row>
    <row r="20" spans="1:8" x14ac:dyDescent="0.15">
      <c r="A20" s="2">
        <v>20</v>
      </c>
      <c r="B20" s="2">
        <v>7500</v>
      </c>
      <c r="C20" s="2">
        <v>2000</v>
      </c>
      <c r="D20" s="2">
        <v>5500</v>
      </c>
      <c r="E20" s="2">
        <v>18</v>
      </c>
      <c r="F20" s="2" t="s">
        <v>454</v>
      </c>
      <c r="G20" s="2" t="s">
        <v>452</v>
      </c>
      <c r="H20" s="2" t="s">
        <v>450</v>
      </c>
    </row>
    <row r="21" spans="1:8" x14ac:dyDescent="0.15">
      <c r="A21" s="2">
        <v>21</v>
      </c>
      <c r="B21" s="2">
        <v>7000</v>
      </c>
      <c r="C21" s="2">
        <v>1500</v>
      </c>
      <c r="D21" s="2">
        <v>3000</v>
      </c>
      <c r="E21" s="2">
        <v>15</v>
      </c>
      <c r="F21" s="2" t="s">
        <v>454</v>
      </c>
      <c r="G21" s="2" t="s">
        <v>452</v>
      </c>
      <c r="H21" s="2" t="s">
        <v>450</v>
      </c>
    </row>
    <row r="22" spans="1:8" x14ac:dyDescent="0.15">
      <c r="A22" s="2">
        <v>22</v>
      </c>
      <c r="B22" s="2">
        <v>7000</v>
      </c>
      <c r="C22" s="2">
        <v>1500</v>
      </c>
      <c r="D22" s="2">
        <v>6000</v>
      </c>
      <c r="E22" s="2">
        <v>18</v>
      </c>
      <c r="F22" s="2" t="s">
        <v>454</v>
      </c>
      <c r="G22" s="2" t="s">
        <v>452</v>
      </c>
      <c r="H22" s="2" t="s">
        <v>450</v>
      </c>
    </row>
    <row r="23" spans="1:8" x14ac:dyDescent="0.15">
      <c r="A23" s="2">
        <v>23</v>
      </c>
      <c r="B23" s="2">
        <v>4300</v>
      </c>
      <c r="C23" s="2">
        <v>1700</v>
      </c>
      <c r="D23" s="2">
        <v>3900</v>
      </c>
      <c r="E23" s="2">
        <v>18</v>
      </c>
      <c r="F23" s="2" t="s">
        <v>454</v>
      </c>
      <c r="G23" s="2" t="s">
        <v>452</v>
      </c>
      <c r="H23" s="2" t="s">
        <v>450</v>
      </c>
    </row>
    <row r="24" spans="1:8" x14ac:dyDescent="0.15">
      <c r="A24" s="2">
        <v>24</v>
      </c>
      <c r="B24" s="2">
        <v>6300</v>
      </c>
      <c r="C24" s="2">
        <v>2500</v>
      </c>
      <c r="D24" s="2">
        <v>10000</v>
      </c>
      <c r="E24" s="2">
        <v>36</v>
      </c>
      <c r="F24" s="2" t="s">
        <v>454</v>
      </c>
      <c r="G24" s="2" t="s">
        <v>452</v>
      </c>
      <c r="H24" s="2" t="s">
        <v>450</v>
      </c>
    </row>
    <row r="25" spans="1:8" x14ac:dyDescent="0.15">
      <c r="A25" s="2">
        <v>25</v>
      </c>
      <c r="B25" s="2">
        <v>5100</v>
      </c>
      <c r="C25" s="2">
        <v>2200</v>
      </c>
      <c r="D25" s="2">
        <v>2900</v>
      </c>
      <c r="E25" s="2">
        <v>17</v>
      </c>
      <c r="F25" s="2" t="s">
        <v>454</v>
      </c>
      <c r="G25" s="2" t="s">
        <v>448</v>
      </c>
      <c r="H25" s="2" t="s">
        <v>449</v>
      </c>
    </row>
    <row r="26" spans="1:8" x14ac:dyDescent="0.15">
      <c r="A26" s="2">
        <v>26</v>
      </c>
      <c r="B26" s="2">
        <v>7000</v>
      </c>
      <c r="C26" s="2">
        <v>1500</v>
      </c>
      <c r="D26" s="2">
        <v>6000</v>
      </c>
      <c r="E26" s="2">
        <v>62</v>
      </c>
      <c r="F26" s="2" t="s">
        <v>454</v>
      </c>
      <c r="G26" s="2" t="s">
        <v>452</v>
      </c>
      <c r="H26" s="2" t="s">
        <v>450</v>
      </c>
    </row>
    <row r="27" spans="1:8" x14ac:dyDescent="0.15">
      <c r="A27" s="2">
        <v>27</v>
      </c>
      <c r="B27" s="2">
        <v>5600</v>
      </c>
      <c r="C27" s="2">
        <v>2000</v>
      </c>
      <c r="D27" s="2">
        <v>3400</v>
      </c>
      <c r="E27" s="2">
        <v>6</v>
      </c>
      <c r="F27" s="2" t="s">
        <v>427</v>
      </c>
      <c r="G27" s="2" t="s">
        <v>452</v>
      </c>
      <c r="H27" s="2" t="s">
        <v>450</v>
      </c>
    </row>
    <row r="28" spans="1:8" x14ac:dyDescent="0.15">
      <c r="A28" s="2">
        <v>28</v>
      </c>
      <c r="B28" s="2">
        <v>6789</v>
      </c>
      <c r="C28" s="2">
        <v>2000</v>
      </c>
      <c r="D28" s="2">
        <v>5999</v>
      </c>
      <c r="E28" s="2">
        <v>24</v>
      </c>
      <c r="F28" s="2" t="s">
        <v>454</v>
      </c>
      <c r="G28" s="2" t="s">
        <v>448</v>
      </c>
      <c r="H28" s="2" t="s">
        <v>451</v>
      </c>
    </row>
    <row r="29" spans="1:8" x14ac:dyDescent="0.15">
      <c r="A29" s="2">
        <v>29</v>
      </c>
      <c r="B29" s="2">
        <v>5400</v>
      </c>
      <c r="C29" s="2">
        <v>2000</v>
      </c>
      <c r="D29" s="2">
        <v>3200</v>
      </c>
      <c r="E29" s="2">
        <v>18</v>
      </c>
      <c r="F29" s="2" t="s">
        <v>454</v>
      </c>
      <c r="G29" s="2" t="s">
        <v>448</v>
      </c>
      <c r="H29" s="2" t="s">
        <v>451</v>
      </c>
    </row>
    <row r="30" spans="1:8" x14ac:dyDescent="0.15">
      <c r="A30" s="2">
        <v>30</v>
      </c>
      <c r="B30" s="2">
        <v>5320</v>
      </c>
      <c r="C30" s="2">
        <v>2000</v>
      </c>
      <c r="D30" s="2">
        <v>5499</v>
      </c>
      <c r="E30" s="2">
        <v>17</v>
      </c>
      <c r="F30" s="2" t="s">
        <v>454</v>
      </c>
      <c r="G30" s="2" t="s">
        <v>448</v>
      </c>
      <c r="H30" s="2" t="s">
        <v>450</v>
      </c>
    </row>
    <row r="31" spans="1:8" x14ac:dyDescent="0.15">
      <c r="A31" s="2">
        <v>31</v>
      </c>
      <c r="B31" s="2">
        <v>3000</v>
      </c>
      <c r="C31" s="2">
        <v>2000</v>
      </c>
      <c r="D31" s="2">
        <v>1800</v>
      </c>
      <c r="E31" s="2">
        <v>15</v>
      </c>
      <c r="F31" s="2" t="s">
        <v>454</v>
      </c>
      <c r="G31" s="2" t="s">
        <v>448</v>
      </c>
      <c r="H31" s="2" t="s">
        <v>449</v>
      </c>
    </row>
    <row r="32" spans="1:8" x14ac:dyDescent="0.15">
      <c r="A32" s="2">
        <v>32</v>
      </c>
      <c r="B32" s="2">
        <v>4000</v>
      </c>
      <c r="C32" s="2">
        <v>1800</v>
      </c>
      <c r="D32" s="2">
        <v>3400</v>
      </c>
      <c r="E32" s="2">
        <v>41</v>
      </c>
      <c r="F32" s="2" t="s">
        <v>454</v>
      </c>
      <c r="G32" s="2" t="s">
        <v>452</v>
      </c>
      <c r="H32" s="2" t="s">
        <v>450</v>
      </c>
    </row>
    <row r="33" spans="1:8" x14ac:dyDescent="0.15">
      <c r="A33" s="2">
        <v>33</v>
      </c>
      <c r="B33" s="2">
        <v>6500</v>
      </c>
      <c r="C33" s="2">
        <v>1500</v>
      </c>
      <c r="D33" s="2">
        <v>3700</v>
      </c>
      <c r="E33" s="2">
        <v>20</v>
      </c>
      <c r="F33" s="2" t="s">
        <v>427</v>
      </c>
      <c r="G33" s="2" t="s">
        <v>448</v>
      </c>
      <c r="H33" s="2" t="s">
        <v>451</v>
      </c>
    </row>
    <row r="34" spans="1:8" x14ac:dyDescent="0.15">
      <c r="A34" s="2">
        <v>34</v>
      </c>
      <c r="B34" s="2">
        <v>6199</v>
      </c>
      <c r="C34" s="2">
        <v>3000</v>
      </c>
      <c r="D34" s="2">
        <v>10999</v>
      </c>
      <c r="E34" s="2">
        <v>4</v>
      </c>
      <c r="F34" s="2" t="s">
        <v>454</v>
      </c>
      <c r="G34" s="2" t="s">
        <v>452</v>
      </c>
      <c r="H34" s="2" t="s">
        <v>450</v>
      </c>
    </row>
    <row r="35" spans="1:8" x14ac:dyDescent="0.15">
      <c r="A35" s="2">
        <v>35</v>
      </c>
      <c r="B35" s="2">
        <v>4500</v>
      </c>
      <c r="C35" s="2">
        <v>1500</v>
      </c>
      <c r="D35" s="2">
        <v>7900</v>
      </c>
      <c r="E35" s="2">
        <v>19</v>
      </c>
      <c r="F35" s="2" t="s">
        <v>454</v>
      </c>
      <c r="G35" s="2" t="s">
        <v>452</v>
      </c>
      <c r="H35" s="2" t="s">
        <v>450</v>
      </c>
    </row>
    <row r="36" spans="1:8" x14ac:dyDescent="0.15">
      <c r="A36" s="2">
        <v>36</v>
      </c>
      <c r="B36" s="2">
        <v>5000</v>
      </c>
      <c r="C36" s="2">
        <v>1700</v>
      </c>
      <c r="D36" s="2">
        <v>2500</v>
      </c>
      <c r="E36" s="2">
        <v>30</v>
      </c>
      <c r="F36" s="2" t="s">
        <v>454</v>
      </c>
      <c r="G36" s="2" t="s">
        <v>448</v>
      </c>
      <c r="H36" s="2" t="s">
        <v>449</v>
      </c>
    </row>
    <row r="37" spans="1:8" x14ac:dyDescent="0.15">
      <c r="A37" s="2">
        <v>37</v>
      </c>
      <c r="B37" s="2">
        <v>6700</v>
      </c>
      <c r="C37" s="2">
        <v>2000</v>
      </c>
      <c r="D37" s="2">
        <v>4500</v>
      </c>
      <c r="E37" s="2">
        <v>18</v>
      </c>
      <c r="F37" s="2" t="s">
        <v>454</v>
      </c>
      <c r="G37" s="2" t="s">
        <v>452</v>
      </c>
      <c r="H37" s="2" t="s">
        <v>449</v>
      </c>
    </row>
    <row r="38" spans="1:8" x14ac:dyDescent="0.15">
      <c r="A38" s="2">
        <v>38</v>
      </c>
      <c r="B38" s="2">
        <v>6000</v>
      </c>
      <c r="C38" s="2">
        <v>1600</v>
      </c>
      <c r="D38" s="2">
        <v>6000</v>
      </c>
      <c r="E38" s="2">
        <v>18</v>
      </c>
      <c r="F38" s="2" t="s">
        <v>454</v>
      </c>
      <c r="G38" s="2" t="s">
        <v>448</v>
      </c>
      <c r="H38" s="2" t="s">
        <v>450</v>
      </c>
    </row>
    <row r="39" spans="1:8" x14ac:dyDescent="0.15">
      <c r="A39" s="2">
        <v>39</v>
      </c>
      <c r="B39" s="2">
        <v>4700</v>
      </c>
      <c r="C39" s="2">
        <v>2000</v>
      </c>
      <c r="D39" s="2">
        <v>7500</v>
      </c>
      <c r="E39" s="2">
        <v>12</v>
      </c>
      <c r="F39" s="2" t="s">
        <v>454</v>
      </c>
      <c r="G39" s="2" t="s">
        <v>448</v>
      </c>
      <c r="H39" s="2" t="s">
        <v>449</v>
      </c>
    </row>
    <row r="40" spans="1:8" x14ac:dyDescent="0.15">
      <c r="A40" s="2">
        <v>40</v>
      </c>
      <c r="B40" s="2">
        <v>3000</v>
      </c>
      <c r="C40" s="2">
        <v>1500</v>
      </c>
      <c r="D40" s="2">
        <v>5000</v>
      </c>
      <c r="E40" s="2">
        <v>24</v>
      </c>
      <c r="F40" s="2" t="s">
        <v>454</v>
      </c>
      <c r="G40" s="2" t="s">
        <v>452</v>
      </c>
      <c r="H40" s="2" t="s">
        <v>450</v>
      </c>
    </row>
    <row r="41" spans="1:8" x14ac:dyDescent="0.15">
      <c r="A41" s="2">
        <v>41</v>
      </c>
      <c r="B41" s="2">
        <v>5000</v>
      </c>
      <c r="C41" s="2">
        <v>2000</v>
      </c>
      <c r="D41" s="2">
        <v>5300</v>
      </c>
      <c r="E41" s="2">
        <v>12</v>
      </c>
      <c r="F41" s="2" t="s">
        <v>427</v>
      </c>
      <c r="G41" s="2" t="s">
        <v>448</v>
      </c>
      <c r="H41" s="2" t="s">
        <v>449</v>
      </c>
    </row>
    <row r="42" spans="1:8" x14ac:dyDescent="0.15">
      <c r="A42" s="2">
        <v>42</v>
      </c>
      <c r="B42" s="2">
        <v>7299</v>
      </c>
      <c r="C42" s="2">
        <v>2000</v>
      </c>
      <c r="D42" s="2">
        <v>4500</v>
      </c>
      <c r="E42" s="2">
        <v>18</v>
      </c>
      <c r="F42" s="2" t="s">
        <v>427</v>
      </c>
      <c r="G42" s="2" t="s">
        <v>448</v>
      </c>
      <c r="H42" s="2" t="s">
        <v>450</v>
      </c>
    </row>
    <row r="43" spans="1:8" x14ac:dyDescent="0.15">
      <c r="A43" s="2">
        <v>44</v>
      </c>
      <c r="B43" s="2">
        <v>6500</v>
      </c>
      <c r="C43" s="2">
        <v>2000</v>
      </c>
      <c r="D43" s="2">
        <v>7000</v>
      </c>
      <c r="E43" s="2">
        <v>18</v>
      </c>
      <c r="F43" s="2" t="s">
        <v>454</v>
      </c>
      <c r="G43" s="2" t="s">
        <v>448</v>
      </c>
      <c r="H43" s="2" t="s">
        <v>453</v>
      </c>
    </row>
    <row r="44" spans="1:8" x14ac:dyDescent="0.15">
      <c r="A44" s="2">
        <v>45</v>
      </c>
      <c r="B44" s="2">
        <v>6900</v>
      </c>
      <c r="C44" s="2">
        <v>1800</v>
      </c>
      <c r="D44" s="2">
        <v>4900</v>
      </c>
      <c r="E44" s="2">
        <v>19</v>
      </c>
      <c r="F44" s="2" t="s">
        <v>454</v>
      </c>
      <c r="G44" s="2" t="s">
        <v>452</v>
      </c>
      <c r="H44" s="2" t="s">
        <v>450</v>
      </c>
    </row>
    <row r="45" spans="1:8" x14ac:dyDescent="0.15">
      <c r="A45" s="2">
        <v>46</v>
      </c>
      <c r="B45" s="2">
        <v>7800</v>
      </c>
      <c r="C45" s="2">
        <v>1400</v>
      </c>
      <c r="D45" s="2">
        <v>2450</v>
      </c>
      <c r="E45" s="2">
        <v>12</v>
      </c>
      <c r="F45" s="2" t="s">
        <v>454</v>
      </c>
      <c r="G45" s="2" t="s">
        <v>452</v>
      </c>
      <c r="H45" s="2" t="s">
        <v>450</v>
      </c>
    </row>
    <row r="46" spans="1:8" x14ac:dyDescent="0.15">
      <c r="A46" s="2">
        <v>47</v>
      </c>
      <c r="B46" s="2">
        <v>6200</v>
      </c>
      <c r="C46" s="2">
        <v>1000</v>
      </c>
      <c r="D46" s="2">
        <v>2200</v>
      </c>
      <c r="E46" s="2">
        <v>21</v>
      </c>
      <c r="F46" s="2" t="s">
        <v>427</v>
      </c>
      <c r="G46" s="2" t="s">
        <v>448</v>
      </c>
      <c r="H46" s="2" t="s">
        <v>450</v>
      </c>
    </row>
    <row r="47" spans="1:8" x14ac:dyDescent="0.15">
      <c r="A47" s="2">
        <v>48</v>
      </c>
      <c r="B47" s="2">
        <v>5800</v>
      </c>
      <c r="C47" s="2">
        <v>2000</v>
      </c>
      <c r="D47" s="2">
        <v>5600</v>
      </c>
      <c r="E47" s="2">
        <v>20</v>
      </c>
      <c r="F47" s="2" t="s">
        <v>454</v>
      </c>
      <c r="G47" s="2" t="s">
        <v>452</v>
      </c>
      <c r="H47" s="2" t="s">
        <v>450</v>
      </c>
    </row>
    <row r="48" spans="1:8" x14ac:dyDescent="0.15">
      <c r="A48" s="2">
        <v>49</v>
      </c>
      <c r="B48" s="2">
        <v>3500</v>
      </c>
      <c r="C48" s="2">
        <v>2000</v>
      </c>
      <c r="D48" s="2">
        <v>7000</v>
      </c>
      <c r="E48" s="2">
        <v>19</v>
      </c>
      <c r="F48" s="2" t="s">
        <v>454</v>
      </c>
      <c r="G48" s="2" t="s">
        <v>452</v>
      </c>
      <c r="H48" s="2" t="s">
        <v>450</v>
      </c>
    </row>
    <row r="49" spans="1:8" x14ac:dyDescent="0.15">
      <c r="A49" s="2">
        <v>50</v>
      </c>
      <c r="B49" s="2">
        <v>4500</v>
      </c>
      <c r="C49" s="2">
        <v>1000</v>
      </c>
      <c r="D49" s="2">
        <v>2200</v>
      </c>
      <c r="E49" s="2">
        <v>18</v>
      </c>
      <c r="F49" s="2" t="s">
        <v>454</v>
      </c>
      <c r="G49" s="2" t="s">
        <v>452</v>
      </c>
      <c r="H49" s="2" t="s">
        <v>450</v>
      </c>
    </row>
    <row r="50" spans="1:8" x14ac:dyDescent="0.15">
      <c r="A50" s="2">
        <v>51</v>
      </c>
      <c r="B50" s="2">
        <v>5500</v>
      </c>
      <c r="C50" s="2">
        <v>1500</v>
      </c>
      <c r="D50" s="2">
        <v>1200</v>
      </c>
      <c r="E50" s="2">
        <v>6</v>
      </c>
      <c r="F50" s="2" t="s">
        <v>427</v>
      </c>
      <c r="G50" s="2" t="s">
        <v>452</v>
      </c>
      <c r="H50" s="2" t="s">
        <v>450</v>
      </c>
    </row>
    <row r="51" spans="1:8" x14ac:dyDescent="0.15">
      <c r="A51" s="2">
        <v>52</v>
      </c>
      <c r="B51" s="2">
        <v>7999</v>
      </c>
      <c r="C51" s="2">
        <v>2000</v>
      </c>
      <c r="D51" s="2">
        <v>6499</v>
      </c>
      <c r="E51" s="2">
        <v>18</v>
      </c>
      <c r="F51" s="2" t="s">
        <v>454</v>
      </c>
      <c r="G51" s="2" t="s">
        <v>448</v>
      </c>
      <c r="H51" s="2" t="s">
        <v>451</v>
      </c>
    </row>
    <row r="52" spans="1:8" x14ac:dyDescent="0.15">
      <c r="A52" s="2">
        <v>53</v>
      </c>
      <c r="B52" s="2">
        <v>9300</v>
      </c>
      <c r="C52" s="2">
        <v>2000</v>
      </c>
      <c r="D52" s="2">
        <v>8700</v>
      </c>
      <c r="E52" s="2">
        <v>26</v>
      </c>
      <c r="F52" s="2" t="s">
        <v>454</v>
      </c>
      <c r="G52" s="2" t="s">
        <v>448</v>
      </c>
      <c r="H52" s="2" t="s">
        <v>451</v>
      </c>
    </row>
    <row r="53" spans="1:8" x14ac:dyDescent="0.15">
      <c r="A53" s="2">
        <v>54</v>
      </c>
      <c r="B53" s="2">
        <v>4099</v>
      </c>
      <c r="C53" s="2">
        <v>4000</v>
      </c>
      <c r="D53" s="2">
        <v>3599</v>
      </c>
      <c r="E53" s="2">
        <v>36</v>
      </c>
      <c r="F53" s="2" t="s">
        <v>454</v>
      </c>
      <c r="G53" s="2" t="s">
        <v>452</v>
      </c>
      <c r="H53" s="2" t="s">
        <v>450</v>
      </c>
    </row>
    <row r="54" spans="1:8" x14ac:dyDescent="0.15">
      <c r="A54" s="2">
        <v>56</v>
      </c>
      <c r="B54" s="2">
        <v>6000</v>
      </c>
      <c r="C54" s="2">
        <v>2200</v>
      </c>
      <c r="D54" s="2">
        <v>6000</v>
      </c>
      <c r="E54" s="2">
        <v>18</v>
      </c>
      <c r="F54" s="2" t="s">
        <v>454</v>
      </c>
      <c r="G54" s="2" t="s">
        <v>452</v>
      </c>
      <c r="H54" s="2" t="s">
        <v>450</v>
      </c>
    </row>
    <row r="55" spans="1:8" x14ac:dyDescent="0.15">
      <c r="A55" s="2">
        <v>57</v>
      </c>
      <c r="B55" s="2">
        <v>2900</v>
      </c>
      <c r="C55" s="2">
        <v>2000</v>
      </c>
      <c r="D55" s="2">
        <v>1200</v>
      </c>
      <c r="E55" s="2">
        <v>10</v>
      </c>
      <c r="F55" s="2" t="s">
        <v>454</v>
      </c>
      <c r="G55" s="2" t="s">
        <v>452</v>
      </c>
      <c r="H55" s="2" t="s">
        <v>450</v>
      </c>
    </row>
    <row r="56" spans="1:8" x14ac:dyDescent="0.15">
      <c r="A56" s="2">
        <v>58</v>
      </c>
      <c r="B56" s="2">
        <v>4600</v>
      </c>
      <c r="C56" s="2">
        <v>1500</v>
      </c>
      <c r="D56" s="2">
        <v>2200</v>
      </c>
      <c r="E56" s="2">
        <v>6</v>
      </c>
      <c r="F56" s="2" t="s">
        <v>454</v>
      </c>
      <c r="G56" s="2" t="s">
        <v>452</v>
      </c>
      <c r="H56" s="2" t="s">
        <v>450</v>
      </c>
    </row>
    <row r="57" spans="1:8" x14ac:dyDescent="0.15">
      <c r="A57" s="2">
        <v>59</v>
      </c>
      <c r="B57" s="2">
        <v>3197</v>
      </c>
      <c r="C57" s="2">
        <v>1800</v>
      </c>
      <c r="D57" s="2">
        <v>2100</v>
      </c>
      <c r="E57" s="2">
        <v>19</v>
      </c>
      <c r="F57" s="2" t="s">
        <v>454</v>
      </c>
      <c r="G57" s="2" t="s">
        <v>452</v>
      </c>
      <c r="H57" s="2" t="s">
        <v>449</v>
      </c>
    </row>
    <row r="58" spans="1:8" x14ac:dyDescent="0.15">
      <c r="A58" s="2">
        <v>60</v>
      </c>
      <c r="B58" s="2">
        <v>4000</v>
      </c>
      <c r="C58" s="2">
        <v>2300</v>
      </c>
      <c r="D58" s="2">
        <v>7000</v>
      </c>
      <c r="E58" s="2">
        <v>20</v>
      </c>
      <c r="F58" s="2" t="s">
        <v>454</v>
      </c>
      <c r="G58" s="2" t="s">
        <v>452</v>
      </c>
      <c r="H58" s="2" t="s">
        <v>450</v>
      </c>
    </row>
    <row r="59" spans="1:8" x14ac:dyDescent="0.15">
      <c r="A59" s="2">
        <v>61</v>
      </c>
      <c r="B59" s="2">
        <v>3999</v>
      </c>
      <c r="C59" s="2">
        <v>2500</v>
      </c>
      <c r="D59" s="2">
        <v>7999</v>
      </c>
      <c r="E59" s="2">
        <v>36</v>
      </c>
      <c r="F59" s="2" t="s">
        <v>454</v>
      </c>
      <c r="G59" s="2" t="s">
        <v>452</v>
      </c>
      <c r="H59" s="2" t="s">
        <v>450</v>
      </c>
    </row>
    <row r="60" spans="1:8" x14ac:dyDescent="0.15">
      <c r="A60" s="2">
        <v>62</v>
      </c>
      <c r="B60" s="2">
        <v>6000</v>
      </c>
      <c r="C60" s="2">
        <v>1600</v>
      </c>
      <c r="D60" s="2">
        <v>3900</v>
      </c>
      <c r="E60" s="2">
        <v>13</v>
      </c>
      <c r="F60" s="2" t="s">
        <v>454</v>
      </c>
      <c r="G60" s="2" t="s">
        <v>452</v>
      </c>
      <c r="H60" s="2" t="s">
        <v>451</v>
      </c>
    </row>
    <row r="61" spans="1:8" x14ac:dyDescent="0.15">
      <c r="A61" s="2">
        <v>63</v>
      </c>
      <c r="B61" s="2">
        <v>8000</v>
      </c>
      <c r="C61" s="2">
        <v>2000</v>
      </c>
      <c r="D61" s="2">
        <v>7000</v>
      </c>
      <c r="E61" s="2">
        <v>24</v>
      </c>
      <c r="F61" s="2" t="s">
        <v>454</v>
      </c>
      <c r="G61" s="2" t="s">
        <v>452</v>
      </c>
      <c r="H61" s="2" t="s">
        <v>449</v>
      </c>
    </row>
    <row r="62" spans="1:8" x14ac:dyDescent="0.15">
      <c r="A62" s="2">
        <v>64</v>
      </c>
      <c r="B62" s="2">
        <v>10000</v>
      </c>
      <c r="C62" s="2">
        <v>1800</v>
      </c>
      <c r="D62" s="2">
        <v>2600</v>
      </c>
      <c r="E62" s="2">
        <v>24</v>
      </c>
      <c r="F62" s="2" t="s">
        <v>454</v>
      </c>
      <c r="G62" s="2" t="s">
        <v>448</v>
      </c>
      <c r="H62" s="2" t="s">
        <v>450</v>
      </c>
    </row>
    <row r="63" spans="1:8" x14ac:dyDescent="0.15">
      <c r="A63" s="2">
        <v>65</v>
      </c>
      <c r="B63" s="2">
        <v>5500</v>
      </c>
      <c r="C63" s="2">
        <v>1800</v>
      </c>
      <c r="D63" s="2">
        <v>4500</v>
      </c>
      <c r="E63" s="2">
        <v>14</v>
      </c>
      <c r="F63" s="2" t="s">
        <v>454</v>
      </c>
      <c r="G63" s="2" t="s">
        <v>452</v>
      </c>
      <c r="H63" s="2" t="s">
        <v>450</v>
      </c>
    </row>
    <row r="64" spans="1:8" x14ac:dyDescent="0.15">
      <c r="A64" s="2">
        <v>66</v>
      </c>
      <c r="B64" s="2">
        <v>1800</v>
      </c>
      <c r="C64" s="2">
        <v>1600</v>
      </c>
      <c r="D64" s="2">
        <v>1700</v>
      </c>
      <c r="E64" s="2">
        <v>16</v>
      </c>
      <c r="F64" s="2" t="s">
        <v>454</v>
      </c>
      <c r="G64" s="2" t="s">
        <v>452</v>
      </c>
      <c r="H64" s="2" t="s">
        <v>450</v>
      </c>
    </row>
    <row r="65" spans="1:8" x14ac:dyDescent="0.15">
      <c r="A65" s="2">
        <v>67</v>
      </c>
      <c r="B65" s="2">
        <v>8500</v>
      </c>
      <c r="C65" s="2">
        <v>2200</v>
      </c>
      <c r="D65" s="2">
        <v>2400</v>
      </c>
      <c r="E65" s="2">
        <v>16</v>
      </c>
      <c r="F65" s="2" t="s">
        <v>427</v>
      </c>
      <c r="G65" s="2" t="s">
        <v>448</v>
      </c>
      <c r="H65" s="2" t="s">
        <v>450</v>
      </c>
    </row>
    <row r="66" spans="1:8" x14ac:dyDescent="0.15">
      <c r="A66" s="2">
        <v>68</v>
      </c>
      <c r="B66" s="2">
        <v>9600</v>
      </c>
      <c r="C66" s="2">
        <v>2500</v>
      </c>
      <c r="D66" s="2">
        <v>5299</v>
      </c>
      <c r="E66" s="2">
        <v>21</v>
      </c>
      <c r="F66" s="2" t="s">
        <v>454</v>
      </c>
      <c r="G66" s="2" t="s">
        <v>452</v>
      </c>
      <c r="H66" s="2" t="s">
        <v>453</v>
      </c>
    </row>
    <row r="67" spans="1:8" x14ac:dyDescent="0.15">
      <c r="A67" s="2">
        <v>69</v>
      </c>
      <c r="B67" s="2">
        <v>3000</v>
      </c>
      <c r="C67" s="2">
        <v>1500</v>
      </c>
      <c r="D67" s="2">
        <v>2300</v>
      </c>
      <c r="E67" s="2">
        <v>18</v>
      </c>
      <c r="F67" s="2" t="s">
        <v>454</v>
      </c>
      <c r="G67" s="2" t="s">
        <v>452</v>
      </c>
      <c r="H67" s="2" t="s">
        <v>450</v>
      </c>
    </row>
    <row r="68" spans="1:8" x14ac:dyDescent="0.15">
      <c r="A68" s="2">
        <v>70</v>
      </c>
      <c r="B68" s="2">
        <v>4400</v>
      </c>
      <c r="C68" s="2">
        <v>1000</v>
      </c>
      <c r="D68" s="2">
        <v>3499</v>
      </c>
      <c r="E68" s="2">
        <v>18</v>
      </c>
      <c r="F68" s="2" t="s">
        <v>454</v>
      </c>
      <c r="G68" s="2" t="s">
        <v>452</v>
      </c>
      <c r="H68" s="2" t="s">
        <v>450</v>
      </c>
    </row>
    <row r="69" spans="1:8" x14ac:dyDescent="0.15">
      <c r="A69" s="2">
        <v>71</v>
      </c>
      <c r="B69" s="2">
        <v>8999</v>
      </c>
      <c r="C69" s="2">
        <v>800</v>
      </c>
      <c r="D69" s="2">
        <v>5499</v>
      </c>
      <c r="E69" s="2">
        <v>14</v>
      </c>
      <c r="F69" s="2" t="s">
        <v>454</v>
      </c>
      <c r="G69" s="2" t="s">
        <v>452</v>
      </c>
      <c r="H69" s="2" t="s">
        <v>450</v>
      </c>
    </row>
    <row r="70" spans="1:8" x14ac:dyDescent="0.15">
      <c r="A70" s="2">
        <v>72</v>
      </c>
      <c r="B70" s="2">
        <v>6000</v>
      </c>
      <c r="C70" s="2">
        <v>1500</v>
      </c>
      <c r="D70" s="2">
        <v>6000</v>
      </c>
      <c r="E70" s="2">
        <v>12</v>
      </c>
      <c r="F70" s="2" t="s">
        <v>454</v>
      </c>
      <c r="G70" s="2" t="s">
        <v>452</v>
      </c>
      <c r="H70" s="2" t="s">
        <v>449</v>
      </c>
    </row>
    <row r="71" spans="1:8" x14ac:dyDescent="0.15">
      <c r="A71" s="2">
        <v>74</v>
      </c>
      <c r="B71" s="2">
        <v>6500</v>
      </c>
      <c r="C71" s="2">
        <v>1500</v>
      </c>
      <c r="D71" s="2">
        <v>1600</v>
      </c>
      <c r="E71" s="2">
        <v>15</v>
      </c>
      <c r="F71" s="2" t="s">
        <v>427</v>
      </c>
      <c r="G71" s="2" t="s">
        <v>448</v>
      </c>
      <c r="H71" s="2" t="s">
        <v>451</v>
      </c>
    </row>
    <row r="72" spans="1:8" x14ac:dyDescent="0.15">
      <c r="A72" s="2">
        <v>75</v>
      </c>
      <c r="B72" s="2">
        <v>5000</v>
      </c>
      <c r="C72" s="2">
        <v>2000</v>
      </c>
      <c r="D72" s="2">
        <v>5500</v>
      </c>
      <c r="E72" s="2">
        <v>18</v>
      </c>
      <c r="F72" s="2" t="s">
        <v>454</v>
      </c>
      <c r="G72" s="2" t="s">
        <v>452</v>
      </c>
      <c r="H72" s="2" t="s">
        <v>450</v>
      </c>
    </row>
    <row r="73" spans="1:8" x14ac:dyDescent="0.15">
      <c r="A73" s="2">
        <v>77</v>
      </c>
      <c r="B73" s="2">
        <v>5400</v>
      </c>
      <c r="C73" s="2">
        <v>2700</v>
      </c>
      <c r="D73" s="2">
        <v>5800</v>
      </c>
      <c r="E73" s="2">
        <v>30</v>
      </c>
      <c r="F73" s="2" t="s">
        <v>454</v>
      </c>
      <c r="G73" s="2" t="s">
        <v>452</v>
      </c>
      <c r="H73" s="2" t="s">
        <v>453</v>
      </c>
    </row>
    <row r="74" spans="1:8" x14ac:dyDescent="0.15">
      <c r="A74" s="2">
        <v>78</v>
      </c>
      <c r="B74" s="2">
        <v>5000</v>
      </c>
      <c r="C74" s="2">
        <v>1500</v>
      </c>
      <c r="D74" s="2">
        <v>5000</v>
      </c>
      <c r="E74" s="2">
        <v>12</v>
      </c>
      <c r="F74" s="2" t="s">
        <v>454</v>
      </c>
      <c r="G74" s="2" t="s">
        <v>452</v>
      </c>
      <c r="H74" s="2" t="s">
        <v>450</v>
      </c>
    </row>
    <row r="75" spans="1:8" x14ac:dyDescent="0.15">
      <c r="A75" s="2">
        <v>79</v>
      </c>
      <c r="B75" s="2">
        <v>7688</v>
      </c>
      <c r="C75" s="2">
        <v>2500</v>
      </c>
      <c r="D75" s="2">
        <v>6999</v>
      </c>
      <c r="E75" s="2">
        <v>12</v>
      </c>
      <c r="F75" s="2" t="s">
        <v>454</v>
      </c>
      <c r="G75" s="2" t="s">
        <v>448</v>
      </c>
      <c r="H75" s="2" t="s">
        <v>450</v>
      </c>
    </row>
    <row r="76" spans="1:8" x14ac:dyDescent="0.15">
      <c r="A76" s="2">
        <v>80</v>
      </c>
      <c r="B76" s="2">
        <v>3800</v>
      </c>
      <c r="C76" s="2">
        <v>1500</v>
      </c>
      <c r="D76" s="2">
        <v>2500</v>
      </c>
      <c r="E76" s="2">
        <v>12</v>
      </c>
      <c r="F76" s="2" t="s">
        <v>454</v>
      </c>
      <c r="G76" s="2" t="s">
        <v>452</v>
      </c>
      <c r="H76" s="2" t="s">
        <v>450</v>
      </c>
    </row>
    <row r="77" spans="1:8" x14ac:dyDescent="0.15">
      <c r="A77" s="2">
        <v>81</v>
      </c>
      <c r="B77" s="2">
        <v>2000</v>
      </c>
      <c r="C77" s="2">
        <v>1500</v>
      </c>
      <c r="D77" s="2">
        <v>2000</v>
      </c>
      <c r="E77" s="2">
        <v>24</v>
      </c>
      <c r="F77" s="2" t="s">
        <v>454</v>
      </c>
      <c r="G77" s="2" t="s">
        <v>452</v>
      </c>
      <c r="H77" s="2" t="s">
        <v>449</v>
      </c>
    </row>
    <row r="78" spans="1:8" x14ac:dyDescent="0.15">
      <c r="A78" s="2">
        <v>82</v>
      </c>
      <c r="B78" s="2">
        <v>4988</v>
      </c>
      <c r="C78" s="2">
        <v>2700</v>
      </c>
      <c r="D78" s="2">
        <v>6999</v>
      </c>
      <c r="E78" s="2">
        <v>18</v>
      </c>
      <c r="F78" s="2" t="s">
        <v>454</v>
      </c>
      <c r="G78" s="2" t="s">
        <v>452</v>
      </c>
      <c r="H78" s="2" t="s">
        <v>450</v>
      </c>
    </row>
    <row r="79" spans="1:8" x14ac:dyDescent="0.15">
      <c r="A79" s="2">
        <v>83</v>
      </c>
      <c r="B79" s="2">
        <v>4000</v>
      </c>
      <c r="C79" s="2">
        <v>2000</v>
      </c>
      <c r="D79" s="2">
        <v>3000</v>
      </c>
      <c r="E79" s="2">
        <v>18</v>
      </c>
      <c r="F79" s="2" t="s">
        <v>454</v>
      </c>
      <c r="G79" s="2" t="s">
        <v>452</v>
      </c>
      <c r="H79" s="2" t="s">
        <v>449</v>
      </c>
    </row>
    <row r="80" spans="1:8" x14ac:dyDescent="0.15">
      <c r="A80" s="2">
        <v>84</v>
      </c>
      <c r="B80" s="2">
        <v>5000</v>
      </c>
      <c r="C80" s="2">
        <v>2000</v>
      </c>
      <c r="D80" s="2">
        <v>8900</v>
      </c>
      <c r="E80" s="2">
        <v>18</v>
      </c>
      <c r="F80" s="2" t="s">
        <v>454</v>
      </c>
      <c r="G80" s="2" t="s">
        <v>452</v>
      </c>
      <c r="H80" s="2" t="s">
        <v>450</v>
      </c>
    </row>
    <row r="81" spans="1:8" x14ac:dyDescent="0.15">
      <c r="A81" s="2">
        <v>85</v>
      </c>
      <c r="B81" s="2">
        <v>8000</v>
      </c>
      <c r="C81" s="2">
        <v>2400</v>
      </c>
      <c r="D81" s="2">
        <v>4200</v>
      </c>
      <c r="E81" s="2">
        <v>36</v>
      </c>
      <c r="F81" s="2" t="s">
        <v>454</v>
      </c>
      <c r="G81" s="2" t="s">
        <v>448</v>
      </c>
      <c r="H81" s="2" t="s">
        <v>451</v>
      </c>
    </row>
    <row r="82" spans="1:8" x14ac:dyDescent="0.15">
      <c r="A82" s="2">
        <v>86</v>
      </c>
      <c r="B82" s="2">
        <v>3600</v>
      </c>
      <c r="C82" s="2">
        <v>2300</v>
      </c>
      <c r="D82" s="2">
        <v>1600</v>
      </c>
      <c r="E82" s="2">
        <v>48</v>
      </c>
      <c r="F82" s="2" t="s">
        <v>454</v>
      </c>
      <c r="G82" s="2" t="s">
        <v>448</v>
      </c>
      <c r="H82" s="2" t="s">
        <v>449</v>
      </c>
    </row>
    <row r="83" spans="1:8" x14ac:dyDescent="0.15">
      <c r="A83" s="2">
        <v>87</v>
      </c>
      <c r="B83" s="2">
        <v>2300</v>
      </c>
      <c r="C83" s="2">
        <v>1300</v>
      </c>
      <c r="D83" s="2">
        <v>3300</v>
      </c>
      <c r="E83" s="2">
        <v>6</v>
      </c>
      <c r="F83" s="2" t="s">
        <v>454</v>
      </c>
      <c r="G83" s="2" t="s">
        <v>448</v>
      </c>
      <c r="H83" s="2" t="s">
        <v>450</v>
      </c>
    </row>
    <row r="84" spans="1:8" x14ac:dyDescent="0.15">
      <c r="A84" s="2">
        <v>88</v>
      </c>
      <c r="B84" s="2">
        <v>3800</v>
      </c>
      <c r="C84" s="2">
        <v>2300</v>
      </c>
      <c r="D84" s="2">
        <v>5100</v>
      </c>
      <c r="E84" s="2">
        <v>17</v>
      </c>
      <c r="F84" s="2" t="s">
        <v>454</v>
      </c>
      <c r="G84" s="2" t="s">
        <v>452</v>
      </c>
      <c r="H84" s="2" t="s">
        <v>450</v>
      </c>
    </row>
    <row r="85" spans="1:8" x14ac:dyDescent="0.15">
      <c r="A85" s="2">
        <v>89</v>
      </c>
      <c r="B85" s="2">
        <v>4400</v>
      </c>
      <c r="C85" s="2">
        <v>2000</v>
      </c>
      <c r="D85" s="2">
        <v>2500</v>
      </c>
      <c r="E85" s="2">
        <v>15</v>
      </c>
      <c r="F85" s="2" t="s">
        <v>454</v>
      </c>
      <c r="G85" s="2" t="s">
        <v>452</v>
      </c>
      <c r="H85" s="2" t="s">
        <v>450</v>
      </c>
    </row>
    <row r="86" spans="1:8" x14ac:dyDescent="0.15">
      <c r="A86" s="2">
        <v>90</v>
      </c>
      <c r="B86" s="2">
        <v>2900</v>
      </c>
      <c r="C86" s="2">
        <v>2500</v>
      </c>
      <c r="D86" s="2">
        <v>1400</v>
      </c>
      <c r="E86" s="2">
        <v>24</v>
      </c>
      <c r="F86" s="2" t="s">
        <v>454</v>
      </c>
      <c r="G86" s="2" t="s">
        <v>452</v>
      </c>
      <c r="H86" s="2" t="s">
        <v>450</v>
      </c>
    </row>
    <row r="87" spans="1:8" x14ac:dyDescent="0.15">
      <c r="A87" s="2">
        <v>91</v>
      </c>
      <c r="B87" s="2">
        <v>5000</v>
      </c>
      <c r="C87" s="2">
        <v>2100</v>
      </c>
      <c r="D87" s="2">
        <v>3000</v>
      </c>
      <c r="E87" s="2">
        <v>19</v>
      </c>
      <c r="F87" s="2" t="s">
        <v>454</v>
      </c>
      <c r="G87" s="2" t="s">
        <v>452</v>
      </c>
      <c r="H87" s="2" t="s">
        <v>450</v>
      </c>
    </row>
    <row r="88" spans="1:8" x14ac:dyDescent="0.15">
      <c r="A88" s="2">
        <v>92</v>
      </c>
      <c r="B88" s="2">
        <v>3000</v>
      </c>
      <c r="C88" s="2">
        <v>1800</v>
      </c>
      <c r="D88" s="2">
        <v>6100</v>
      </c>
      <c r="E88" s="2">
        <v>48</v>
      </c>
      <c r="F88" s="2" t="s">
        <v>454</v>
      </c>
      <c r="G88" s="2" t="s">
        <v>452</v>
      </c>
      <c r="H88" s="2" t="s">
        <v>450</v>
      </c>
    </row>
    <row r="89" spans="1:8" x14ac:dyDescent="0.15">
      <c r="A89" s="2">
        <v>93</v>
      </c>
      <c r="B89" s="2">
        <v>2300</v>
      </c>
      <c r="C89" s="2">
        <v>1500</v>
      </c>
      <c r="D89" s="2">
        <v>1500</v>
      </c>
      <c r="E89" s="2">
        <v>20</v>
      </c>
      <c r="F89" s="2" t="s">
        <v>454</v>
      </c>
      <c r="G89" s="2" t="s">
        <v>452</v>
      </c>
      <c r="H89" s="2" t="s">
        <v>449</v>
      </c>
    </row>
    <row r="90" spans="1:8" x14ac:dyDescent="0.15">
      <c r="A90" s="2">
        <v>94</v>
      </c>
      <c r="B90" s="2">
        <v>5000</v>
      </c>
      <c r="C90" s="2">
        <v>1500</v>
      </c>
      <c r="D90" s="2">
        <v>9000</v>
      </c>
      <c r="E90" s="2">
        <v>9</v>
      </c>
      <c r="F90" s="2" t="s">
        <v>454</v>
      </c>
      <c r="G90" s="2" t="s">
        <v>448</v>
      </c>
      <c r="H90" s="2" t="s">
        <v>449</v>
      </c>
    </row>
    <row r="91" spans="1:8" x14ac:dyDescent="0.15">
      <c r="A91" s="2">
        <v>95</v>
      </c>
      <c r="B91" s="2">
        <v>3700</v>
      </c>
      <c r="C91" s="2">
        <v>1700</v>
      </c>
      <c r="D91" s="2">
        <v>2900</v>
      </c>
      <c r="E91" s="2">
        <v>6</v>
      </c>
      <c r="F91" s="2" t="s">
        <v>454</v>
      </c>
      <c r="G91" s="2" t="s">
        <v>452</v>
      </c>
      <c r="H91" s="2" t="s">
        <v>450</v>
      </c>
    </row>
    <row r="92" spans="1:8" x14ac:dyDescent="0.15">
      <c r="A92" s="2">
        <v>97</v>
      </c>
      <c r="B92" s="2">
        <v>5500</v>
      </c>
      <c r="C92" s="2">
        <v>2000</v>
      </c>
      <c r="D92" s="2">
        <v>3300</v>
      </c>
      <c r="E92" s="2">
        <v>24</v>
      </c>
      <c r="F92" s="2" t="s">
        <v>454</v>
      </c>
      <c r="G92" s="2" t="s">
        <v>448</v>
      </c>
      <c r="H92" s="2" t="s">
        <v>450</v>
      </c>
    </row>
    <row r="93" spans="1:8" x14ac:dyDescent="0.15">
      <c r="A93" s="2">
        <v>98</v>
      </c>
      <c r="B93" s="2">
        <v>3000</v>
      </c>
      <c r="C93" s="2">
        <v>1500</v>
      </c>
      <c r="D93" s="2">
        <v>12999</v>
      </c>
      <c r="E93" s="2">
        <v>18</v>
      </c>
      <c r="F93" s="2" t="s">
        <v>454</v>
      </c>
      <c r="G93" s="2" t="s">
        <v>448</v>
      </c>
      <c r="H93" s="2" t="s">
        <v>450</v>
      </c>
    </row>
    <row r="94" spans="1:8" x14ac:dyDescent="0.15">
      <c r="A94" s="2">
        <v>99</v>
      </c>
      <c r="B94" s="2">
        <v>4299</v>
      </c>
      <c r="C94" s="2">
        <v>1000</v>
      </c>
      <c r="D94" s="2">
        <v>2600</v>
      </c>
      <c r="E94" s="2">
        <v>5</v>
      </c>
      <c r="F94" s="2" t="s">
        <v>454</v>
      </c>
      <c r="G94" s="2" t="s">
        <v>452</v>
      </c>
      <c r="H94" s="2" t="s">
        <v>450</v>
      </c>
    </row>
    <row r="95" spans="1:8" x14ac:dyDescent="0.15">
      <c r="A95" s="2">
        <v>100</v>
      </c>
      <c r="B95" s="2">
        <v>3200</v>
      </c>
      <c r="C95" s="2">
        <v>1500</v>
      </c>
      <c r="D95" s="2">
        <v>2700</v>
      </c>
      <c r="E95" s="2">
        <v>18</v>
      </c>
      <c r="F95" s="2" t="s">
        <v>454</v>
      </c>
      <c r="G95" s="2" t="s">
        <v>452</v>
      </c>
      <c r="H95" s="2" t="s">
        <v>450</v>
      </c>
    </row>
    <row r="96" spans="1:8" x14ac:dyDescent="0.15">
      <c r="A96" s="2">
        <v>101</v>
      </c>
      <c r="B96" s="2">
        <v>7000</v>
      </c>
      <c r="C96" s="2">
        <v>1600</v>
      </c>
      <c r="D96" s="2">
        <v>6000</v>
      </c>
      <c r="E96" s="2">
        <v>20</v>
      </c>
      <c r="F96" s="2" t="s">
        <v>454</v>
      </c>
      <c r="G96" s="2" t="s">
        <v>452</v>
      </c>
      <c r="H96" s="2" t="s">
        <v>450</v>
      </c>
    </row>
    <row r="97" spans="1:8" x14ac:dyDescent="0.15">
      <c r="A97" s="2">
        <v>102</v>
      </c>
      <c r="B97" s="2">
        <v>8000</v>
      </c>
      <c r="C97" s="2">
        <v>2200</v>
      </c>
      <c r="D97" s="2">
        <v>4000</v>
      </c>
      <c r="E97" s="2">
        <v>6</v>
      </c>
      <c r="F97" s="2" t="s">
        <v>427</v>
      </c>
      <c r="G97" s="2" t="s">
        <v>452</v>
      </c>
      <c r="H97" s="2" t="s">
        <v>450</v>
      </c>
    </row>
    <row r="98" spans="1:8" x14ac:dyDescent="0.15">
      <c r="A98" s="2">
        <v>103</v>
      </c>
      <c r="B98" s="2">
        <v>6715</v>
      </c>
      <c r="C98" s="2">
        <v>1511</v>
      </c>
      <c r="D98" s="2">
        <v>6115</v>
      </c>
      <c r="E98" s="2">
        <v>18</v>
      </c>
      <c r="F98" s="2" t="s">
        <v>427</v>
      </c>
      <c r="G98" s="2" t="s">
        <v>448</v>
      </c>
      <c r="H98" s="2" t="s">
        <v>453</v>
      </c>
    </row>
    <row r="99" spans="1:8" x14ac:dyDescent="0.15">
      <c r="A99" s="2">
        <v>104</v>
      </c>
      <c r="B99" s="2">
        <v>2599</v>
      </c>
      <c r="C99" s="2">
        <v>1500</v>
      </c>
      <c r="D99" s="2">
        <v>1614</v>
      </c>
      <c r="E99" s="2">
        <v>13</v>
      </c>
      <c r="F99" s="2" t="s">
        <v>427</v>
      </c>
      <c r="G99" s="2" t="s">
        <v>452</v>
      </c>
      <c r="H99" s="2" t="s">
        <v>449</v>
      </c>
    </row>
    <row r="100" spans="1:8" x14ac:dyDescent="0.15">
      <c r="A100" s="2">
        <v>105</v>
      </c>
      <c r="B100" s="2">
        <v>8599</v>
      </c>
      <c r="C100" s="2">
        <v>2500</v>
      </c>
      <c r="D100" s="2">
        <v>7799</v>
      </c>
      <c r="E100" s="2">
        <v>8</v>
      </c>
      <c r="F100" s="2" t="s">
        <v>454</v>
      </c>
      <c r="G100" s="2" t="s">
        <v>448</v>
      </c>
      <c r="H100" s="2" t="s">
        <v>453</v>
      </c>
    </row>
    <row r="101" spans="1:8" x14ac:dyDescent="0.15">
      <c r="A101" s="2">
        <v>106</v>
      </c>
      <c r="B101" s="2">
        <v>7200</v>
      </c>
      <c r="C101" s="2">
        <v>2500</v>
      </c>
      <c r="D101" s="2">
        <v>8100</v>
      </c>
      <c r="E101" s="2">
        <v>6</v>
      </c>
      <c r="F101" s="2" t="s">
        <v>454</v>
      </c>
      <c r="G101" s="2" t="s">
        <v>452</v>
      </c>
      <c r="H101" s="2" t="s">
        <v>450</v>
      </c>
    </row>
    <row r="102" spans="1:8" x14ac:dyDescent="0.15">
      <c r="A102" s="2">
        <v>107</v>
      </c>
      <c r="B102" s="2">
        <v>6000</v>
      </c>
      <c r="C102" s="2">
        <v>2200</v>
      </c>
      <c r="D102" s="2">
        <v>5800</v>
      </c>
      <c r="E102" s="2">
        <v>18</v>
      </c>
      <c r="F102" s="2" t="s">
        <v>427</v>
      </c>
      <c r="G102" s="2" t="s">
        <v>452</v>
      </c>
      <c r="H102" s="2" t="s">
        <v>449</v>
      </c>
    </row>
    <row r="103" spans="1:8" x14ac:dyDescent="0.15">
      <c r="A103" s="2">
        <v>108</v>
      </c>
      <c r="B103" s="2">
        <v>8000</v>
      </c>
      <c r="C103" s="2">
        <v>3000</v>
      </c>
      <c r="D103" s="2">
        <v>6000</v>
      </c>
      <c r="E103" s="2">
        <v>9</v>
      </c>
      <c r="F103" s="2" t="s">
        <v>427</v>
      </c>
      <c r="G103" s="2" t="s">
        <v>448</v>
      </c>
      <c r="H103" s="2" t="s">
        <v>451</v>
      </c>
    </row>
    <row r="104" spans="1:8" x14ac:dyDescent="0.15">
      <c r="A104" s="2">
        <v>109</v>
      </c>
      <c r="B104" s="2">
        <v>7000</v>
      </c>
      <c r="C104" s="2">
        <v>3000</v>
      </c>
      <c r="D104" s="2">
        <v>5000</v>
      </c>
      <c r="E104" s="2">
        <v>6</v>
      </c>
      <c r="F104" s="2" t="s">
        <v>454</v>
      </c>
      <c r="G104" s="2" t="s">
        <v>452</v>
      </c>
      <c r="H104" s="2" t="s">
        <v>453</v>
      </c>
    </row>
    <row r="105" spans="1:8" x14ac:dyDescent="0.15">
      <c r="A105" s="2">
        <v>110</v>
      </c>
      <c r="B105" s="2">
        <v>5000</v>
      </c>
      <c r="C105" s="2">
        <v>2000</v>
      </c>
      <c r="D105" s="2">
        <v>8600</v>
      </c>
      <c r="E105" s="2">
        <v>13</v>
      </c>
      <c r="F105" s="2" t="s">
        <v>454</v>
      </c>
      <c r="G105" s="2" t="s">
        <v>452</v>
      </c>
      <c r="H105" s="2" t="s">
        <v>450</v>
      </c>
    </row>
    <row r="106" spans="1:8" x14ac:dyDescent="0.15">
      <c r="A106" s="2">
        <v>112</v>
      </c>
      <c r="B106" s="2">
        <v>11999</v>
      </c>
      <c r="C106" s="2">
        <v>1900</v>
      </c>
      <c r="D106" s="2">
        <v>9999</v>
      </c>
      <c r="E106" s="2">
        <v>4</v>
      </c>
      <c r="F106" s="2" t="s">
        <v>454</v>
      </c>
      <c r="G106" s="2" t="s">
        <v>448</v>
      </c>
      <c r="H106" s="2" t="s">
        <v>450</v>
      </c>
    </row>
    <row r="107" spans="1:8" x14ac:dyDescent="0.15">
      <c r="A107" s="2">
        <v>113</v>
      </c>
      <c r="B107" s="2">
        <v>4500</v>
      </c>
      <c r="C107" s="2">
        <v>4000</v>
      </c>
      <c r="D107" s="2">
        <v>8699</v>
      </c>
      <c r="E107" s="2">
        <v>42</v>
      </c>
      <c r="F107" s="2" t="s">
        <v>454</v>
      </c>
      <c r="G107" s="2" t="s">
        <v>452</v>
      </c>
      <c r="H107" s="2" t="s">
        <v>453</v>
      </c>
    </row>
    <row r="108" spans="1:8" x14ac:dyDescent="0.15">
      <c r="A108" s="2">
        <v>115</v>
      </c>
      <c r="B108" s="2">
        <v>8000</v>
      </c>
      <c r="C108" s="2">
        <v>5000</v>
      </c>
      <c r="D108" s="2">
        <v>10000</v>
      </c>
      <c r="E108" s="2">
        <v>36</v>
      </c>
      <c r="F108" s="2" t="s">
        <v>454</v>
      </c>
      <c r="G108" s="2" t="s">
        <v>452</v>
      </c>
      <c r="H108" s="2" t="s">
        <v>453</v>
      </c>
    </row>
    <row r="109" spans="1:8" x14ac:dyDescent="0.15">
      <c r="A109" s="2">
        <v>116</v>
      </c>
      <c r="B109" s="2">
        <v>4500</v>
      </c>
      <c r="C109" s="2">
        <v>2500</v>
      </c>
      <c r="D109" s="2">
        <v>5500</v>
      </c>
      <c r="E109" s="2">
        <v>4</v>
      </c>
      <c r="F109" s="2" t="s">
        <v>454</v>
      </c>
      <c r="G109" s="2" t="s">
        <v>452</v>
      </c>
      <c r="H109" s="2" t="s">
        <v>450</v>
      </c>
    </row>
    <row r="110" spans="1:8" x14ac:dyDescent="0.15">
      <c r="A110" s="2">
        <v>117</v>
      </c>
      <c r="B110" s="2">
        <v>6255</v>
      </c>
      <c r="C110" s="2">
        <v>2500</v>
      </c>
      <c r="D110" s="2">
        <v>9299</v>
      </c>
      <c r="E110" s="2">
        <v>12</v>
      </c>
      <c r="F110" s="2" t="s">
        <v>454</v>
      </c>
      <c r="G110" s="2" t="s">
        <v>452</v>
      </c>
      <c r="H110" s="2" t="s">
        <v>450</v>
      </c>
    </row>
    <row r="111" spans="1:8" x14ac:dyDescent="0.15">
      <c r="A111" s="2">
        <v>118</v>
      </c>
      <c r="B111" s="2">
        <v>8500</v>
      </c>
      <c r="C111" s="2">
        <v>2500</v>
      </c>
      <c r="D111" s="2">
        <v>7600</v>
      </c>
      <c r="E111" s="2">
        <v>6</v>
      </c>
      <c r="F111" s="2" t="s">
        <v>454</v>
      </c>
      <c r="G111" s="2" t="s">
        <v>448</v>
      </c>
      <c r="H111" s="2" t="s">
        <v>453</v>
      </c>
    </row>
    <row r="112" spans="1:8" x14ac:dyDescent="0.15">
      <c r="A112" s="2">
        <v>120</v>
      </c>
      <c r="B112" s="2">
        <v>6000</v>
      </c>
      <c r="C112" s="2">
        <v>3500</v>
      </c>
      <c r="D112" s="2">
        <v>8000</v>
      </c>
      <c r="E112" s="2">
        <v>9</v>
      </c>
      <c r="F112" s="2" t="s">
        <v>454</v>
      </c>
      <c r="G112" s="2" t="s">
        <v>452</v>
      </c>
      <c r="H112" s="2" t="s">
        <v>453</v>
      </c>
    </row>
    <row r="113" spans="1:8" x14ac:dyDescent="0.15">
      <c r="A113" s="2">
        <v>121</v>
      </c>
      <c r="B113" s="2">
        <v>9599</v>
      </c>
      <c r="C113" s="2">
        <v>3000</v>
      </c>
      <c r="D113" s="2">
        <v>8999</v>
      </c>
      <c r="E113" s="2">
        <v>8</v>
      </c>
      <c r="F113" s="2" t="s">
        <v>427</v>
      </c>
      <c r="G113" s="2" t="s">
        <v>448</v>
      </c>
      <c r="H113" s="2" t="s">
        <v>450</v>
      </c>
    </row>
    <row r="114" spans="1:8" x14ac:dyDescent="0.15">
      <c r="A114" s="2">
        <v>122</v>
      </c>
      <c r="B114" s="2">
        <v>6399</v>
      </c>
      <c r="C114" s="2">
        <v>3000</v>
      </c>
      <c r="D114" s="2">
        <v>12000</v>
      </c>
      <c r="E114" s="2">
        <v>8</v>
      </c>
      <c r="F114" s="2" t="s">
        <v>454</v>
      </c>
      <c r="G114" s="2" t="s">
        <v>452</v>
      </c>
      <c r="H114" s="2" t="s">
        <v>450</v>
      </c>
    </row>
    <row r="115" spans="1:8" x14ac:dyDescent="0.15">
      <c r="A115" s="2">
        <v>123</v>
      </c>
      <c r="B115" s="2">
        <v>7699</v>
      </c>
      <c r="C115" s="2">
        <v>2500</v>
      </c>
      <c r="D115" s="2">
        <v>1500</v>
      </c>
      <c r="E115" s="2">
        <v>6</v>
      </c>
      <c r="F115" s="2" t="s">
        <v>454</v>
      </c>
      <c r="G115" s="2" t="s">
        <v>452</v>
      </c>
      <c r="H115" s="2" t="s">
        <v>450</v>
      </c>
    </row>
    <row r="116" spans="1:8" x14ac:dyDescent="0.15">
      <c r="A116" s="2">
        <v>124</v>
      </c>
      <c r="B116" s="2">
        <v>9000</v>
      </c>
      <c r="C116" s="2">
        <v>3000</v>
      </c>
      <c r="D116" s="2">
        <v>4000</v>
      </c>
      <c r="E116" s="2">
        <v>6</v>
      </c>
      <c r="F116" s="2" t="s">
        <v>427</v>
      </c>
      <c r="G116" s="2" t="s">
        <v>448</v>
      </c>
      <c r="H116" s="2" t="s">
        <v>451</v>
      </c>
    </row>
    <row r="117" spans="1:8" x14ac:dyDescent="0.15">
      <c r="A117" s="2">
        <v>126</v>
      </c>
      <c r="B117" s="2">
        <v>5600</v>
      </c>
      <c r="C117" s="2">
        <v>3000</v>
      </c>
      <c r="D117" s="2">
        <v>6900</v>
      </c>
      <c r="E117" s="2">
        <v>18</v>
      </c>
      <c r="F117" s="2" t="s">
        <v>454</v>
      </c>
      <c r="G117" s="2" t="s">
        <v>452</v>
      </c>
      <c r="H117" s="2" t="s">
        <v>450</v>
      </c>
    </row>
    <row r="118" spans="1:8" x14ac:dyDescent="0.15">
      <c r="A118" s="2">
        <v>127</v>
      </c>
      <c r="B118" s="2">
        <v>9900</v>
      </c>
      <c r="C118" s="2">
        <v>1500</v>
      </c>
      <c r="D118" s="2">
        <v>1208</v>
      </c>
      <c r="E118" s="2">
        <v>19</v>
      </c>
      <c r="F118" s="2" t="s">
        <v>427</v>
      </c>
      <c r="G118" s="2" t="s">
        <v>452</v>
      </c>
      <c r="H118" s="2" t="s">
        <v>450</v>
      </c>
    </row>
    <row r="119" spans="1:8" x14ac:dyDescent="0.15">
      <c r="A119" s="2">
        <v>128</v>
      </c>
      <c r="B119" s="2">
        <v>6600</v>
      </c>
      <c r="C119" s="2">
        <v>2500</v>
      </c>
      <c r="D119" s="2">
        <v>2999</v>
      </c>
      <c r="E119" s="2">
        <v>7</v>
      </c>
      <c r="F119" s="2" t="s">
        <v>454</v>
      </c>
      <c r="G119" s="2" t="s">
        <v>448</v>
      </c>
      <c r="H119" s="2" t="s">
        <v>451</v>
      </c>
    </row>
    <row r="120" spans="1:8" x14ac:dyDescent="0.15">
      <c r="A120" s="2">
        <v>129</v>
      </c>
      <c r="B120" s="2">
        <v>5600</v>
      </c>
      <c r="C120" s="2">
        <v>1500</v>
      </c>
      <c r="D120" s="2">
        <v>7999</v>
      </c>
      <c r="E120" s="2">
        <v>6</v>
      </c>
      <c r="F120" s="2" t="s">
        <v>427</v>
      </c>
      <c r="G120" s="2" t="s">
        <v>448</v>
      </c>
      <c r="H120" s="2" t="s">
        <v>450</v>
      </c>
    </row>
    <row r="121" spans="1:8" x14ac:dyDescent="0.15">
      <c r="A121" s="2">
        <v>130</v>
      </c>
      <c r="B121" s="2">
        <v>5500</v>
      </c>
      <c r="C121" s="2">
        <v>2000</v>
      </c>
      <c r="D121" s="2">
        <v>3200</v>
      </c>
      <c r="E121" s="2">
        <v>6</v>
      </c>
      <c r="F121" s="2" t="s">
        <v>454</v>
      </c>
      <c r="G121" s="2" t="s">
        <v>452</v>
      </c>
      <c r="H121" s="2" t="s">
        <v>450</v>
      </c>
    </row>
    <row r="122" spans="1:8" x14ac:dyDescent="0.15">
      <c r="A122" s="2">
        <v>131</v>
      </c>
      <c r="B122" s="2">
        <v>7500</v>
      </c>
      <c r="C122" s="2">
        <v>1500</v>
      </c>
      <c r="D122" s="2">
        <v>6000</v>
      </c>
      <c r="E122" s="2">
        <v>2</v>
      </c>
      <c r="F122" s="2" t="s">
        <v>454</v>
      </c>
      <c r="G122" s="2" t="s">
        <v>448</v>
      </c>
      <c r="H122" s="2" t="s">
        <v>451</v>
      </c>
    </row>
    <row r="123" spans="1:8" x14ac:dyDescent="0.15">
      <c r="A123" s="2">
        <v>132</v>
      </c>
      <c r="B123" s="2">
        <v>3599</v>
      </c>
      <c r="C123" s="2">
        <v>2500</v>
      </c>
      <c r="D123" s="2">
        <v>5999</v>
      </c>
      <c r="E123" s="2">
        <v>4</v>
      </c>
      <c r="F123" s="2" t="s">
        <v>454</v>
      </c>
      <c r="G123" s="2" t="s">
        <v>452</v>
      </c>
      <c r="H123" s="2" t="s">
        <v>453</v>
      </c>
    </row>
    <row r="124" spans="1:8" x14ac:dyDescent="0.15">
      <c r="A124" s="2">
        <v>133</v>
      </c>
      <c r="B124" s="2">
        <v>10000</v>
      </c>
      <c r="C124" s="2">
        <v>2400</v>
      </c>
      <c r="D124" s="2">
        <v>10000</v>
      </c>
      <c r="E124" s="2">
        <v>16</v>
      </c>
      <c r="F124" s="2" t="s">
        <v>427</v>
      </c>
      <c r="G124" s="2" t="s">
        <v>448</v>
      </c>
      <c r="H124" s="2" t="s">
        <v>451</v>
      </c>
    </row>
    <row r="125" spans="1:8" x14ac:dyDescent="0.15">
      <c r="A125" s="2">
        <v>134</v>
      </c>
      <c r="B125" s="2">
        <v>10000</v>
      </c>
      <c r="C125" s="2">
        <v>2200</v>
      </c>
      <c r="D125" s="2">
        <v>2600</v>
      </c>
      <c r="E125" s="2">
        <v>6</v>
      </c>
      <c r="F125" s="2" t="s">
        <v>427</v>
      </c>
      <c r="G125" s="2" t="s">
        <v>448</v>
      </c>
      <c r="H125" s="2" t="s">
        <v>449</v>
      </c>
    </row>
    <row r="126" spans="1:8" x14ac:dyDescent="0.15">
      <c r="A126" s="2">
        <v>136</v>
      </c>
      <c r="B126" s="2">
        <v>8999</v>
      </c>
      <c r="C126" s="2">
        <v>2500</v>
      </c>
      <c r="D126" s="2">
        <v>6099</v>
      </c>
      <c r="E126" s="2">
        <v>6</v>
      </c>
      <c r="F126" s="2" t="s">
        <v>427</v>
      </c>
      <c r="G126" s="2" t="s">
        <v>448</v>
      </c>
      <c r="H126" s="2" t="s">
        <v>450</v>
      </c>
    </row>
    <row r="127" spans="1:8" x14ac:dyDescent="0.15">
      <c r="A127" s="2">
        <v>138</v>
      </c>
      <c r="B127" s="2">
        <v>5200</v>
      </c>
      <c r="C127" s="2">
        <v>2200</v>
      </c>
      <c r="D127" s="2">
        <v>5999</v>
      </c>
      <c r="E127" s="2">
        <v>6</v>
      </c>
      <c r="F127" s="2" t="s">
        <v>454</v>
      </c>
      <c r="G127" s="2" t="s">
        <v>452</v>
      </c>
      <c r="H127" s="2" t="s">
        <v>450</v>
      </c>
    </row>
    <row r="128" spans="1:8" x14ac:dyDescent="0.15">
      <c r="A128" s="2">
        <v>139</v>
      </c>
      <c r="B128" s="2">
        <v>10800</v>
      </c>
      <c r="C128" s="2">
        <v>3000</v>
      </c>
      <c r="D128" s="2">
        <v>12800</v>
      </c>
      <c r="E128" s="2">
        <v>6</v>
      </c>
      <c r="F128" s="2" t="s">
        <v>454</v>
      </c>
      <c r="G128" s="2" t="s">
        <v>452</v>
      </c>
      <c r="H128" s="2" t="s">
        <v>453</v>
      </c>
    </row>
    <row r="129" spans="1:8" x14ac:dyDescent="0.15">
      <c r="A129" s="2">
        <v>140</v>
      </c>
      <c r="B129" s="2">
        <v>10500</v>
      </c>
      <c r="C129" s="2">
        <v>2500</v>
      </c>
      <c r="D129" s="2">
        <v>9799</v>
      </c>
      <c r="E129" s="2">
        <v>6</v>
      </c>
      <c r="F129" s="2" t="s">
        <v>454</v>
      </c>
      <c r="G129" s="2" t="s">
        <v>452</v>
      </c>
      <c r="H129" s="2" t="s">
        <v>453</v>
      </c>
    </row>
    <row r="130" spans="1:8" x14ac:dyDescent="0.15">
      <c r="A130" s="2">
        <v>141</v>
      </c>
      <c r="B130" s="2">
        <v>13000</v>
      </c>
      <c r="C130" s="2">
        <v>3500</v>
      </c>
      <c r="D130" s="2">
        <v>9999</v>
      </c>
      <c r="E130" s="2">
        <v>6</v>
      </c>
      <c r="F130" s="2" t="s">
        <v>454</v>
      </c>
      <c r="G130" s="2" t="s">
        <v>448</v>
      </c>
      <c r="H130" s="2" t="s">
        <v>451</v>
      </c>
    </row>
    <row r="131" spans="1:8" x14ac:dyDescent="0.15">
      <c r="A131" s="2">
        <v>143</v>
      </c>
      <c r="B131" s="2">
        <v>7500</v>
      </c>
      <c r="C131" s="2">
        <v>4200</v>
      </c>
      <c r="D131" s="2">
        <v>3500</v>
      </c>
      <c r="E131" s="2">
        <v>4</v>
      </c>
      <c r="F131" s="2" t="s">
        <v>454</v>
      </c>
      <c r="G131" s="2" t="s">
        <v>448</v>
      </c>
      <c r="H131" s="2" t="s">
        <v>451</v>
      </c>
    </row>
    <row r="132" spans="1:8" x14ac:dyDescent="0.15">
      <c r="A132" s="2">
        <v>144</v>
      </c>
      <c r="B132" s="2">
        <v>4800</v>
      </c>
      <c r="C132" s="2">
        <v>2000</v>
      </c>
      <c r="D132" s="2">
        <v>2900</v>
      </c>
      <c r="E132" s="2">
        <v>1</v>
      </c>
      <c r="F132" s="2" t="s">
        <v>454</v>
      </c>
      <c r="G132" s="2" t="s">
        <v>452</v>
      </c>
      <c r="H132" s="2" t="s">
        <v>450</v>
      </c>
    </row>
    <row r="133" spans="1:8" x14ac:dyDescent="0.15">
      <c r="A133" s="2">
        <v>145</v>
      </c>
      <c r="B133" s="2">
        <v>12000</v>
      </c>
      <c r="C133" s="2">
        <v>2000</v>
      </c>
      <c r="D133" s="2">
        <v>5000</v>
      </c>
      <c r="E133" s="2">
        <v>4</v>
      </c>
      <c r="F133" s="2" t="s">
        <v>427</v>
      </c>
      <c r="G133" s="2" t="s">
        <v>448</v>
      </c>
      <c r="H133" s="2" t="s">
        <v>451</v>
      </c>
    </row>
    <row r="134" spans="1:8" x14ac:dyDescent="0.15">
      <c r="A134" s="2">
        <v>146</v>
      </c>
      <c r="B134" s="2">
        <v>5500</v>
      </c>
      <c r="C134" s="2">
        <v>2200</v>
      </c>
      <c r="D134" s="2">
        <v>3400</v>
      </c>
      <c r="E134" s="2">
        <v>15</v>
      </c>
      <c r="F134" s="2" t="s">
        <v>427</v>
      </c>
      <c r="G134" s="2" t="s">
        <v>452</v>
      </c>
      <c r="H134" s="2" t="s">
        <v>450</v>
      </c>
    </row>
    <row r="135" spans="1:8" x14ac:dyDescent="0.15">
      <c r="A135" s="2">
        <v>147</v>
      </c>
      <c r="B135" s="2">
        <v>2300</v>
      </c>
      <c r="C135" s="2">
        <v>2000</v>
      </c>
      <c r="D135" s="2">
        <v>2200</v>
      </c>
      <c r="E135" s="2">
        <v>6</v>
      </c>
      <c r="F135" s="2" t="s">
        <v>454</v>
      </c>
      <c r="G135" s="2" t="s">
        <v>448</v>
      </c>
      <c r="H135" s="2" t="s">
        <v>449</v>
      </c>
    </row>
    <row r="136" spans="1:8" x14ac:dyDescent="0.15">
      <c r="A136" s="2">
        <v>148</v>
      </c>
      <c r="B136" s="2">
        <v>5679</v>
      </c>
      <c r="C136" s="2">
        <v>2500</v>
      </c>
      <c r="D136" s="2">
        <v>6000</v>
      </c>
      <c r="E136" s="2">
        <v>6</v>
      </c>
      <c r="F136" s="2" t="s">
        <v>454</v>
      </c>
      <c r="G136" s="2" t="s">
        <v>452</v>
      </c>
      <c r="H136" s="2" t="s">
        <v>450</v>
      </c>
    </row>
    <row r="137" spans="1:8" x14ac:dyDescent="0.15">
      <c r="A137" s="2">
        <v>149</v>
      </c>
      <c r="B137" s="2">
        <v>7400</v>
      </c>
      <c r="C137" s="2">
        <v>3000</v>
      </c>
      <c r="D137" s="2">
        <v>9000</v>
      </c>
      <c r="E137" s="2">
        <v>8</v>
      </c>
      <c r="F137" s="2" t="s">
        <v>454</v>
      </c>
      <c r="G137" s="2" t="s">
        <v>452</v>
      </c>
      <c r="H137" s="2" t="s">
        <v>450</v>
      </c>
    </row>
    <row r="138" spans="1:8" x14ac:dyDescent="0.15">
      <c r="A138" s="2">
        <v>150</v>
      </c>
      <c r="B138" s="2">
        <v>4800</v>
      </c>
      <c r="C138" s="2">
        <v>2000</v>
      </c>
      <c r="D138" s="2">
        <v>6800</v>
      </c>
      <c r="E138" s="2">
        <v>42</v>
      </c>
      <c r="F138" s="2" t="s">
        <v>427</v>
      </c>
      <c r="G138" s="2" t="s">
        <v>452</v>
      </c>
      <c r="H138" s="2" t="s">
        <v>453</v>
      </c>
    </row>
    <row r="139" spans="1:8" x14ac:dyDescent="0.15">
      <c r="A139" s="2">
        <v>152</v>
      </c>
      <c r="B139" s="2">
        <v>5899</v>
      </c>
      <c r="C139" s="2">
        <v>2500</v>
      </c>
      <c r="D139" s="2">
        <v>8999</v>
      </c>
      <c r="E139" s="2">
        <v>9</v>
      </c>
      <c r="F139" s="2" t="s">
        <v>454</v>
      </c>
      <c r="G139" s="2" t="s">
        <v>452</v>
      </c>
      <c r="H139" s="2" t="s">
        <v>453</v>
      </c>
    </row>
    <row r="140" spans="1:8" x14ac:dyDescent="0.15">
      <c r="A140" s="2">
        <v>153</v>
      </c>
      <c r="B140" s="2">
        <v>12499</v>
      </c>
      <c r="C140" s="2">
        <v>3000</v>
      </c>
      <c r="D140" s="2">
        <v>13999</v>
      </c>
      <c r="E140" s="2">
        <v>6</v>
      </c>
      <c r="F140" s="2" t="s">
        <v>454</v>
      </c>
      <c r="G140" s="2" t="s">
        <v>452</v>
      </c>
      <c r="H140" s="2" t="s">
        <v>453</v>
      </c>
    </row>
    <row r="141" spans="1:8" x14ac:dyDescent="0.15">
      <c r="A141" s="2">
        <v>154</v>
      </c>
      <c r="B141" s="2">
        <v>5500</v>
      </c>
      <c r="C141" s="2">
        <v>3500</v>
      </c>
      <c r="D141" s="2">
        <v>2500</v>
      </c>
      <c r="E141" s="2">
        <v>8</v>
      </c>
      <c r="F141" s="2" t="s">
        <v>454</v>
      </c>
      <c r="G141" s="2" t="s">
        <v>452</v>
      </c>
      <c r="H141" s="2" t="s">
        <v>453</v>
      </c>
    </row>
    <row r="142" spans="1:8" x14ac:dyDescent="0.15">
      <c r="A142" s="2">
        <v>155</v>
      </c>
      <c r="B142" s="2">
        <v>10000</v>
      </c>
      <c r="C142" s="2">
        <v>1000</v>
      </c>
      <c r="D142" s="2">
        <v>5900</v>
      </c>
      <c r="E142" s="2">
        <v>6</v>
      </c>
      <c r="F142" s="2" t="s">
        <v>454</v>
      </c>
      <c r="G142" s="2" t="s">
        <v>448</v>
      </c>
      <c r="H142" s="2" t="s">
        <v>451</v>
      </c>
    </row>
    <row r="143" spans="1:8" x14ac:dyDescent="0.15">
      <c r="A143" s="2">
        <v>156</v>
      </c>
      <c r="B143" s="2">
        <v>12999</v>
      </c>
      <c r="C143" s="2">
        <v>3000</v>
      </c>
      <c r="D143" s="2">
        <v>10499</v>
      </c>
      <c r="E143" s="2">
        <v>15</v>
      </c>
      <c r="F143" s="2" t="s">
        <v>427</v>
      </c>
      <c r="G143" s="2" t="s">
        <v>448</v>
      </c>
      <c r="H143" s="2" t="s">
        <v>450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0F972-6F8A-4C4C-9609-03340D546B19}">
  <dimension ref="A3:B27"/>
  <sheetViews>
    <sheetView zoomScale="125" workbookViewId="0">
      <selection activeCell="A23" sqref="A23"/>
    </sheetView>
  </sheetViews>
  <sheetFormatPr baseColWidth="10" defaultRowHeight="13" x14ac:dyDescent="0.15"/>
  <cols>
    <col min="1" max="1" width="56.1640625" bestFit="1" customWidth="1"/>
    <col min="2" max="2" width="5.33203125" bestFit="1" customWidth="1"/>
    <col min="3" max="3" width="56.1640625" bestFit="1" customWidth="1"/>
  </cols>
  <sheetData>
    <row r="3" spans="1:2" x14ac:dyDescent="0.15">
      <c r="A3" s="1" t="s">
        <v>439</v>
      </c>
    </row>
    <row r="4" spans="1:2" x14ac:dyDescent="0.15">
      <c r="A4" s="1" t="s">
        <v>11</v>
      </c>
      <c r="B4" t="s">
        <v>446</v>
      </c>
    </row>
    <row r="5" spans="1:2" x14ac:dyDescent="0.15">
      <c r="A5">
        <v>1</v>
      </c>
      <c r="B5">
        <v>37</v>
      </c>
    </row>
    <row r="6" spans="1:2" x14ac:dyDescent="0.15">
      <c r="A6">
        <v>2</v>
      </c>
      <c r="B6">
        <v>7</v>
      </c>
    </row>
    <row r="7" spans="1:2" x14ac:dyDescent="0.15">
      <c r="A7">
        <v>3</v>
      </c>
      <c r="B7">
        <v>10</v>
      </c>
    </row>
    <row r="8" spans="1:2" x14ac:dyDescent="0.15">
      <c r="A8">
        <v>4</v>
      </c>
      <c r="B8">
        <v>103</v>
      </c>
    </row>
    <row r="9" spans="1:2" x14ac:dyDescent="0.15">
      <c r="A9" t="s">
        <v>437</v>
      </c>
    </row>
    <row r="10" spans="1:2" x14ac:dyDescent="0.15">
      <c r="A10" t="s">
        <v>438</v>
      </c>
      <c r="B10">
        <v>157</v>
      </c>
    </row>
    <row r="20" spans="1:2" x14ac:dyDescent="0.15">
      <c r="A20" s="1" t="s">
        <v>447</v>
      </c>
    </row>
    <row r="21" spans="1:2" x14ac:dyDescent="0.15">
      <c r="A21" s="1" t="s">
        <v>12</v>
      </c>
      <c r="B21" t="s">
        <v>446</v>
      </c>
    </row>
    <row r="22" spans="1:2" x14ac:dyDescent="0.15">
      <c r="A22">
        <v>1</v>
      </c>
      <c r="B22">
        <v>24</v>
      </c>
    </row>
    <row r="23" spans="1:2" x14ac:dyDescent="0.15">
      <c r="A23">
        <v>2</v>
      </c>
      <c r="B23">
        <v>88</v>
      </c>
    </row>
    <row r="24" spans="1:2" x14ac:dyDescent="0.15">
      <c r="A24">
        <v>3</v>
      </c>
      <c r="B24">
        <v>22</v>
      </c>
    </row>
    <row r="25" spans="1:2" x14ac:dyDescent="0.15">
      <c r="A25">
        <v>4</v>
      </c>
      <c r="B25">
        <v>23</v>
      </c>
    </row>
    <row r="26" spans="1:2" x14ac:dyDescent="0.15">
      <c r="A26" t="s">
        <v>437</v>
      </c>
    </row>
    <row r="27" spans="1:2" x14ac:dyDescent="0.15">
      <c r="A27" t="s">
        <v>438</v>
      </c>
      <c r="B27">
        <v>157</v>
      </c>
    </row>
  </sheetData>
  <phoneticPr fontId="2" type="noConversion"/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D3C2-2A36-E94C-A8BF-2767D09DC3B7}">
  <dimension ref="A1:K158"/>
  <sheetViews>
    <sheetView tabSelected="1" topLeftCell="A35" zoomScale="115" workbookViewId="0">
      <selection activeCell="G16" sqref="G16"/>
    </sheetView>
  </sheetViews>
  <sheetFormatPr baseColWidth="10" defaultColWidth="8.83203125" defaultRowHeight="13" x14ac:dyDescent="0.15"/>
  <cols>
    <col min="1" max="1" width="4.33203125" style="2" customWidth="1"/>
    <col min="2" max="2" width="11" style="2" customWidth="1"/>
    <col min="3" max="3" width="9.33203125" style="2" customWidth="1"/>
    <col min="4" max="4" width="8.6640625" style="2" bestFit="1" customWidth="1"/>
    <col min="5" max="6" width="7" style="2" bestFit="1" customWidth="1"/>
    <col min="7" max="7" width="12.6640625" style="2" bestFit="1" customWidth="1"/>
    <col min="8" max="8" width="22" style="2" customWidth="1"/>
    <col min="9" max="9" width="22.83203125" style="2" customWidth="1"/>
    <col min="10" max="10" width="25.1640625" style="2" customWidth="1"/>
    <col min="11" max="11" width="18.33203125" style="2" customWidth="1"/>
    <col min="12" max="16384" width="8.83203125" style="2"/>
  </cols>
  <sheetData>
    <row r="1" spans="1:11" s="3" customFormat="1" ht="65" x14ac:dyDescent="0.15">
      <c r="A1" s="3" t="s">
        <v>455</v>
      </c>
      <c r="B1" s="3" t="s">
        <v>6</v>
      </c>
      <c r="C1" s="3" t="s">
        <v>456</v>
      </c>
      <c r="D1" s="3" t="s">
        <v>430</v>
      </c>
      <c r="E1" s="3" t="s">
        <v>432</v>
      </c>
      <c r="F1" s="3" t="s">
        <v>434</v>
      </c>
      <c r="G1" s="3" t="s">
        <v>436</v>
      </c>
      <c r="H1" s="3" t="s">
        <v>442</v>
      </c>
      <c r="I1" s="3" t="s">
        <v>441</v>
      </c>
      <c r="J1" s="3" t="s">
        <v>443</v>
      </c>
      <c r="K1" s="3" t="s">
        <v>445</v>
      </c>
    </row>
    <row r="2" spans="1:11" x14ac:dyDescent="0.15">
      <c r="A2" s="2">
        <v>1</v>
      </c>
      <c r="B2" s="2">
        <v>1</v>
      </c>
      <c r="C2" s="2" t="str">
        <f>IF(B2=1,"male","female")</f>
        <v>male</v>
      </c>
      <c r="D2" s="2">
        <v>2000</v>
      </c>
      <c r="E2" s="2">
        <v>5000</v>
      </c>
      <c r="F2" s="2">
        <v>6000</v>
      </c>
      <c r="G2" s="2">
        <v>20</v>
      </c>
      <c r="H2" s="2">
        <v>1</v>
      </c>
      <c r="I2" s="2" t="str">
        <f>IF(H2=4,"lite","performance")</f>
        <v>performance</v>
      </c>
      <c r="J2" s="2">
        <v>4</v>
      </c>
      <c r="K2" s="2" t="str" cm="1">
        <f t="array" ref="K2">_xlfn.SWITCH(J2, 1, "premium", 2, "mainstream", 3, "gaming", 4, "value")</f>
        <v>value</v>
      </c>
    </row>
    <row r="3" spans="1:11" x14ac:dyDescent="0.15">
      <c r="A3" s="2">
        <v>2</v>
      </c>
      <c r="B3" s="2">
        <v>1</v>
      </c>
      <c r="C3" s="2" t="str">
        <f t="shared" ref="C3:C66" si="0">IF(B3=1,"male","female")</f>
        <v>male</v>
      </c>
      <c r="D3" s="2">
        <v>1500</v>
      </c>
      <c r="E3" s="2">
        <v>2400</v>
      </c>
      <c r="F3" s="2">
        <v>5700</v>
      </c>
      <c r="G3" s="2">
        <v>1</v>
      </c>
      <c r="H3" s="2">
        <v>2</v>
      </c>
      <c r="I3" s="2" t="str">
        <f t="shared" ref="I3:I66" si="1">IF(H3=4,"lite","performance")</f>
        <v>performance</v>
      </c>
      <c r="J3" s="2">
        <v>2</v>
      </c>
      <c r="K3" s="2" t="str" cm="1">
        <f t="array" ref="K3">_xlfn.SWITCH(J3, 1, "premium", 2, "mainstream", 3, "gaming", 4, "value")</f>
        <v>mainstream</v>
      </c>
    </row>
    <row r="4" spans="1:11" x14ac:dyDescent="0.15">
      <c r="A4" s="2">
        <v>3</v>
      </c>
      <c r="B4" s="2">
        <v>1</v>
      </c>
      <c r="C4" s="2" t="str">
        <f t="shared" si="0"/>
        <v>male</v>
      </c>
      <c r="D4" s="2">
        <v>1000</v>
      </c>
      <c r="E4" s="2">
        <v>2500</v>
      </c>
      <c r="F4" s="2">
        <v>8000</v>
      </c>
      <c r="G4" s="2">
        <v>18</v>
      </c>
      <c r="H4" s="2">
        <v>1</v>
      </c>
      <c r="I4" s="2" t="str">
        <f t="shared" si="1"/>
        <v>performance</v>
      </c>
      <c r="J4" s="2">
        <v>3</v>
      </c>
      <c r="K4" s="2" t="str" cm="1">
        <f t="array" ref="K4">_xlfn.SWITCH(J4, 1, "premium", 2, "mainstream", 3, "gaming", 4, "value")</f>
        <v>gaming</v>
      </c>
    </row>
    <row r="5" spans="1:11" x14ac:dyDescent="0.15">
      <c r="A5" s="2">
        <v>4</v>
      </c>
      <c r="B5" s="2">
        <v>1</v>
      </c>
      <c r="C5" s="2" t="str">
        <f t="shared" si="0"/>
        <v>male</v>
      </c>
      <c r="D5" s="2">
        <v>2000</v>
      </c>
      <c r="E5" s="2">
        <v>7999</v>
      </c>
      <c r="F5" s="2">
        <v>11999</v>
      </c>
      <c r="G5" s="2">
        <v>6</v>
      </c>
      <c r="H5" s="2">
        <v>4</v>
      </c>
      <c r="I5" s="2" t="str">
        <f t="shared" si="1"/>
        <v>lite</v>
      </c>
      <c r="J5" s="2">
        <v>1</v>
      </c>
      <c r="K5" s="2" t="str" cm="1">
        <f t="array" ref="K5">_xlfn.SWITCH(J5, 1, "premium", 2, "mainstream", 3, "gaming", 4, "value")</f>
        <v>premium</v>
      </c>
    </row>
    <row r="6" spans="1:11" x14ac:dyDescent="0.15">
      <c r="A6" s="2">
        <v>5</v>
      </c>
      <c r="B6" s="2">
        <v>2</v>
      </c>
      <c r="C6" s="2" t="str">
        <f t="shared" si="0"/>
        <v>female</v>
      </c>
      <c r="D6" s="2">
        <v>2000</v>
      </c>
      <c r="E6" s="2">
        <v>3100</v>
      </c>
      <c r="F6" s="2">
        <v>5999</v>
      </c>
      <c r="G6" s="2">
        <v>18</v>
      </c>
      <c r="H6" s="2">
        <v>4</v>
      </c>
      <c r="I6" s="2" t="str">
        <f t="shared" si="1"/>
        <v>lite</v>
      </c>
      <c r="J6" s="2">
        <v>3</v>
      </c>
      <c r="K6" s="2" t="str" cm="1">
        <f t="array" ref="K6">_xlfn.SWITCH(J6, 1, "premium", 2, "mainstream", 3, "gaming", 4, "value")</f>
        <v>gaming</v>
      </c>
    </row>
    <row r="7" spans="1:11" x14ac:dyDescent="0.15">
      <c r="A7" s="2">
        <v>6</v>
      </c>
      <c r="B7" s="2">
        <v>1</v>
      </c>
      <c r="C7" s="2" t="str">
        <f t="shared" si="0"/>
        <v>male</v>
      </c>
      <c r="D7" s="2">
        <v>2500</v>
      </c>
      <c r="E7" s="2">
        <v>5988</v>
      </c>
      <c r="F7" s="2">
        <v>7800</v>
      </c>
      <c r="G7" s="2">
        <v>2</v>
      </c>
      <c r="H7" s="2">
        <v>1</v>
      </c>
      <c r="I7" s="2" t="str">
        <f t="shared" si="1"/>
        <v>performance</v>
      </c>
      <c r="J7" s="2">
        <v>2</v>
      </c>
      <c r="K7" s="2" t="str" cm="1">
        <f t="array" ref="K7">_xlfn.SWITCH(J7, 1, "premium", 2, "mainstream", 3, "gaming", 4, "value")</f>
        <v>mainstream</v>
      </c>
    </row>
    <row r="8" spans="1:11" x14ac:dyDescent="0.15">
      <c r="A8" s="2">
        <v>7</v>
      </c>
      <c r="B8" s="2">
        <v>2</v>
      </c>
      <c r="C8" s="2" t="str">
        <f t="shared" si="0"/>
        <v>female</v>
      </c>
      <c r="D8" s="2">
        <v>800</v>
      </c>
      <c r="E8" s="2">
        <v>2100</v>
      </c>
      <c r="F8" s="2">
        <v>6400</v>
      </c>
      <c r="G8" s="2">
        <v>19</v>
      </c>
      <c r="H8" s="2">
        <v>4</v>
      </c>
      <c r="I8" s="2" t="str">
        <f t="shared" si="1"/>
        <v>lite</v>
      </c>
      <c r="J8" s="2">
        <v>4</v>
      </c>
      <c r="K8" s="2" t="str" cm="1">
        <f t="array" ref="K8">_xlfn.SWITCH(J8, 1, "premium", 2, "mainstream", 3, "gaming", 4, "value")</f>
        <v>value</v>
      </c>
    </row>
    <row r="9" spans="1:11" x14ac:dyDescent="0.15">
      <c r="A9" s="2">
        <v>8</v>
      </c>
      <c r="B9" s="2">
        <v>2</v>
      </c>
      <c r="C9" s="2" t="str">
        <f t="shared" si="0"/>
        <v>female</v>
      </c>
      <c r="D9" s="2">
        <v>2500</v>
      </c>
      <c r="E9" s="2">
        <v>3900</v>
      </c>
      <c r="F9" s="2">
        <v>8000</v>
      </c>
      <c r="G9" s="2">
        <v>20</v>
      </c>
      <c r="H9" s="2">
        <v>4</v>
      </c>
      <c r="I9" s="2" t="str">
        <f t="shared" si="1"/>
        <v>lite</v>
      </c>
      <c r="J9" s="2">
        <v>2</v>
      </c>
      <c r="K9" s="2" t="str" cm="1">
        <f t="array" ref="K9">_xlfn.SWITCH(J9, 1, "premium", 2, "mainstream", 3, "gaming", 4, "value")</f>
        <v>mainstream</v>
      </c>
    </row>
    <row r="10" spans="1:11" x14ac:dyDescent="0.15">
      <c r="A10" s="2">
        <v>9</v>
      </c>
      <c r="B10" s="2">
        <v>1</v>
      </c>
      <c r="C10" s="2" t="str">
        <f t="shared" si="0"/>
        <v>male</v>
      </c>
      <c r="D10" s="2">
        <v>1500</v>
      </c>
      <c r="E10" s="2">
        <v>2100</v>
      </c>
      <c r="F10" s="2">
        <v>6400</v>
      </c>
      <c r="G10" s="2">
        <v>13</v>
      </c>
      <c r="H10" s="2">
        <v>1</v>
      </c>
      <c r="I10" s="2" t="str">
        <f t="shared" si="1"/>
        <v>performance</v>
      </c>
      <c r="J10" s="2">
        <v>2</v>
      </c>
      <c r="K10" s="2" t="str" cm="1">
        <f t="array" ref="K10">_xlfn.SWITCH(J10, 1, "premium", 2, "mainstream", 3, "gaming", 4, "value")</f>
        <v>mainstream</v>
      </c>
    </row>
    <row r="11" spans="1:11" x14ac:dyDescent="0.15">
      <c r="A11" s="2">
        <v>10</v>
      </c>
      <c r="B11" s="2">
        <v>1</v>
      </c>
      <c r="C11" s="2" t="str">
        <f t="shared" si="0"/>
        <v>male</v>
      </c>
      <c r="D11" s="2">
        <v>2500</v>
      </c>
      <c r="E11" s="2">
        <v>9900</v>
      </c>
      <c r="F11" s="2">
        <v>7800</v>
      </c>
      <c r="G11" s="2">
        <v>4</v>
      </c>
      <c r="H11" s="2">
        <v>4</v>
      </c>
      <c r="I11" s="2" t="str">
        <f t="shared" si="1"/>
        <v>lite</v>
      </c>
      <c r="J11" s="2">
        <v>3</v>
      </c>
      <c r="K11" s="2" t="str" cm="1">
        <f t="array" ref="K11">_xlfn.SWITCH(J11, 1, "premium", 2, "mainstream", 3, "gaming", 4, "value")</f>
        <v>gaming</v>
      </c>
    </row>
    <row r="12" spans="1:11" x14ac:dyDescent="0.15">
      <c r="A12" s="2">
        <v>11</v>
      </c>
      <c r="B12" s="2">
        <v>1</v>
      </c>
      <c r="C12" s="2" t="str">
        <f t="shared" si="0"/>
        <v>male</v>
      </c>
      <c r="D12" s="2">
        <v>2000</v>
      </c>
      <c r="E12" s="2">
        <v>5500</v>
      </c>
      <c r="F12" s="2">
        <v>6000</v>
      </c>
      <c r="G12" s="2">
        <v>20</v>
      </c>
      <c r="H12" s="2">
        <v>4</v>
      </c>
      <c r="I12" s="2" t="str">
        <f t="shared" si="1"/>
        <v>lite</v>
      </c>
      <c r="J12" s="2">
        <v>2</v>
      </c>
      <c r="K12" s="2" t="str" cm="1">
        <f t="array" ref="K12">_xlfn.SWITCH(J12, 1, "premium", 2, "mainstream", 3, "gaming", 4, "value")</f>
        <v>mainstream</v>
      </c>
    </row>
    <row r="13" spans="1:11" x14ac:dyDescent="0.15">
      <c r="A13" s="2">
        <v>12</v>
      </c>
      <c r="B13" s="2">
        <v>1</v>
      </c>
      <c r="C13" s="2" t="str">
        <f t="shared" si="0"/>
        <v>male</v>
      </c>
      <c r="D13" s="2">
        <v>2000</v>
      </c>
      <c r="E13" s="2">
        <v>6000</v>
      </c>
      <c r="F13" s="2">
        <v>7000</v>
      </c>
      <c r="G13" s="2">
        <v>18</v>
      </c>
      <c r="H13" s="2">
        <v>1</v>
      </c>
      <c r="I13" s="2" t="str">
        <f t="shared" si="1"/>
        <v>performance</v>
      </c>
      <c r="J13" s="2">
        <v>3</v>
      </c>
      <c r="K13" s="2" t="str" cm="1">
        <f t="array" ref="K13">_xlfn.SWITCH(J13, 1, "premium", 2, "mainstream", 3, "gaming", 4, "value")</f>
        <v>gaming</v>
      </c>
    </row>
    <row r="14" spans="1:11" x14ac:dyDescent="0.15">
      <c r="A14" s="2">
        <v>13</v>
      </c>
      <c r="B14" s="2">
        <v>2</v>
      </c>
      <c r="C14" s="2" t="str">
        <f t="shared" si="0"/>
        <v>female</v>
      </c>
      <c r="D14" s="2">
        <v>2700</v>
      </c>
      <c r="E14" s="2">
        <v>7999</v>
      </c>
      <c r="F14" s="2">
        <v>6500</v>
      </c>
      <c r="G14" s="2">
        <v>6</v>
      </c>
      <c r="H14" s="2">
        <v>4</v>
      </c>
      <c r="I14" s="2" t="str">
        <f t="shared" si="1"/>
        <v>lite</v>
      </c>
      <c r="J14" s="2">
        <v>2</v>
      </c>
      <c r="K14" s="2" t="str" cm="1">
        <f t="array" ref="K14">_xlfn.SWITCH(J14, 1, "premium", 2, "mainstream", 3, "gaming", 4, "value")</f>
        <v>mainstream</v>
      </c>
    </row>
    <row r="15" spans="1:11" x14ac:dyDescent="0.15">
      <c r="A15" s="2">
        <v>14</v>
      </c>
      <c r="B15" s="2">
        <v>2</v>
      </c>
      <c r="C15" s="2" t="str">
        <f t="shared" si="0"/>
        <v>female</v>
      </c>
      <c r="D15" s="2">
        <v>1500</v>
      </c>
      <c r="E15" s="2">
        <v>2000</v>
      </c>
      <c r="F15" s="2">
        <v>5000</v>
      </c>
      <c r="G15" s="2">
        <v>17</v>
      </c>
      <c r="H15" s="2">
        <v>1</v>
      </c>
      <c r="I15" s="2" t="str">
        <f t="shared" si="1"/>
        <v>performance</v>
      </c>
      <c r="J15" s="2">
        <v>2</v>
      </c>
      <c r="K15" s="2" t="str" cm="1">
        <f t="array" ref="K15">_xlfn.SWITCH(J15, 1, "premium", 2, "mainstream", 3, "gaming", 4, "value")</f>
        <v>mainstream</v>
      </c>
    </row>
    <row r="16" spans="1:11" x14ac:dyDescent="0.15">
      <c r="A16" s="2">
        <v>15</v>
      </c>
      <c r="B16" s="2">
        <v>2</v>
      </c>
      <c r="C16" s="2" t="str">
        <f t="shared" si="0"/>
        <v>female</v>
      </c>
      <c r="D16" s="2">
        <v>2500</v>
      </c>
      <c r="E16" s="2">
        <v>10000</v>
      </c>
      <c r="F16" s="2">
        <v>0</v>
      </c>
      <c r="G16" s="2">
        <v>0</v>
      </c>
      <c r="H16" s="2">
        <v>3</v>
      </c>
      <c r="I16" s="2" t="str">
        <f t="shared" si="1"/>
        <v>performance</v>
      </c>
      <c r="J16" s="2">
        <v>2</v>
      </c>
      <c r="K16" s="2" t="str" cm="1">
        <f t="array" ref="K16">_xlfn.SWITCH(J16, 1, "premium", 2, "mainstream", 3, "gaming", 4, "value")</f>
        <v>mainstream</v>
      </c>
    </row>
    <row r="17" spans="1:11" x14ac:dyDescent="0.15">
      <c r="A17" s="2">
        <v>16</v>
      </c>
      <c r="B17" s="2">
        <v>2</v>
      </c>
      <c r="C17" s="2" t="str">
        <f t="shared" si="0"/>
        <v>female</v>
      </c>
      <c r="D17" s="2">
        <v>2000</v>
      </c>
      <c r="E17" s="2">
        <v>5199</v>
      </c>
      <c r="F17" s="2">
        <v>8999</v>
      </c>
      <c r="G17" s="2">
        <v>6</v>
      </c>
      <c r="H17" s="2">
        <v>4</v>
      </c>
      <c r="I17" s="2" t="str">
        <f t="shared" si="1"/>
        <v>lite</v>
      </c>
      <c r="J17" s="2">
        <v>4</v>
      </c>
      <c r="K17" s="2" t="str" cm="1">
        <f t="array" ref="K17">_xlfn.SWITCH(J17, 1, "premium", 2, "mainstream", 3, "gaming", 4, "value")</f>
        <v>value</v>
      </c>
    </row>
    <row r="18" spans="1:11" x14ac:dyDescent="0.15">
      <c r="A18" s="2">
        <v>17</v>
      </c>
      <c r="B18" s="2">
        <v>2</v>
      </c>
      <c r="C18" s="2" t="str">
        <f t="shared" si="0"/>
        <v>female</v>
      </c>
      <c r="D18" s="2">
        <v>1500</v>
      </c>
      <c r="E18" s="2">
        <v>8000</v>
      </c>
      <c r="F18" s="2">
        <v>6000</v>
      </c>
      <c r="G18" s="2">
        <v>18</v>
      </c>
      <c r="H18" s="2">
        <v>4</v>
      </c>
      <c r="I18" s="2" t="str">
        <f t="shared" si="1"/>
        <v>lite</v>
      </c>
      <c r="J18" s="2">
        <v>2</v>
      </c>
      <c r="K18" s="2" t="str" cm="1">
        <f t="array" ref="K18">_xlfn.SWITCH(J18, 1, "premium", 2, "mainstream", 3, "gaming", 4, "value")</f>
        <v>mainstream</v>
      </c>
    </row>
    <row r="19" spans="1:11" x14ac:dyDescent="0.15">
      <c r="A19" s="2">
        <v>18</v>
      </c>
      <c r="B19" s="2">
        <v>1</v>
      </c>
      <c r="C19" s="2" t="str">
        <f t="shared" si="0"/>
        <v>male</v>
      </c>
      <c r="D19" s="2">
        <v>2500</v>
      </c>
      <c r="E19" s="2">
        <v>3000</v>
      </c>
      <c r="F19" s="2">
        <v>8000</v>
      </c>
      <c r="G19" s="2">
        <v>19</v>
      </c>
      <c r="H19" s="2">
        <v>1</v>
      </c>
      <c r="I19" s="2" t="str">
        <f t="shared" si="1"/>
        <v>performance</v>
      </c>
      <c r="J19" s="2">
        <v>4</v>
      </c>
      <c r="K19" s="2" t="str" cm="1">
        <f t="array" ref="K19">_xlfn.SWITCH(J19, 1, "premium", 2, "mainstream", 3, "gaming", 4, "value")</f>
        <v>value</v>
      </c>
    </row>
    <row r="20" spans="1:11" x14ac:dyDescent="0.15">
      <c r="A20" s="2">
        <v>19</v>
      </c>
      <c r="B20" s="2">
        <v>2</v>
      </c>
      <c r="C20" s="2" t="str">
        <f t="shared" si="0"/>
        <v>female</v>
      </c>
      <c r="D20" s="2">
        <v>2500</v>
      </c>
      <c r="E20" s="2">
        <v>5690</v>
      </c>
      <c r="F20" s="2">
        <v>5999</v>
      </c>
      <c r="G20" s="2">
        <v>20</v>
      </c>
      <c r="H20" s="2">
        <v>4</v>
      </c>
      <c r="I20" s="2" t="str">
        <f t="shared" si="1"/>
        <v>lite</v>
      </c>
      <c r="J20" s="2">
        <v>2</v>
      </c>
      <c r="K20" s="2" t="str" cm="1">
        <f t="array" ref="K20">_xlfn.SWITCH(J20, 1, "premium", 2, "mainstream", 3, "gaming", 4, "value")</f>
        <v>mainstream</v>
      </c>
    </row>
    <row r="21" spans="1:11" x14ac:dyDescent="0.15">
      <c r="A21" s="2">
        <v>20</v>
      </c>
      <c r="B21" s="2">
        <v>2</v>
      </c>
      <c r="C21" s="2" t="str">
        <f t="shared" si="0"/>
        <v>female</v>
      </c>
      <c r="D21" s="2">
        <v>2000</v>
      </c>
      <c r="E21" s="2">
        <v>5500</v>
      </c>
      <c r="F21" s="2">
        <v>7500</v>
      </c>
      <c r="G21" s="2">
        <v>18</v>
      </c>
      <c r="H21" s="2">
        <v>4</v>
      </c>
      <c r="I21" s="2" t="str">
        <f t="shared" si="1"/>
        <v>lite</v>
      </c>
      <c r="J21" s="2">
        <v>2</v>
      </c>
      <c r="K21" s="2" t="str" cm="1">
        <f t="array" ref="K21">_xlfn.SWITCH(J21, 1, "premium", 2, "mainstream", 3, "gaming", 4, "value")</f>
        <v>mainstream</v>
      </c>
    </row>
    <row r="22" spans="1:11" x14ac:dyDescent="0.15">
      <c r="A22" s="2">
        <v>21</v>
      </c>
      <c r="B22" s="2">
        <v>2</v>
      </c>
      <c r="C22" s="2" t="str">
        <f t="shared" si="0"/>
        <v>female</v>
      </c>
      <c r="D22" s="2">
        <v>1500</v>
      </c>
      <c r="E22" s="2">
        <v>3000</v>
      </c>
      <c r="F22" s="2">
        <v>7000</v>
      </c>
      <c r="G22" s="2">
        <v>15</v>
      </c>
      <c r="H22" s="2">
        <v>4</v>
      </c>
      <c r="I22" s="2" t="str">
        <f t="shared" si="1"/>
        <v>lite</v>
      </c>
      <c r="J22" s="2">
        <v>2</v>
      </c>
      <c r="K22" s="2" t="str" cm="1">
        <f t="array" ref="K22">_xlfn.SWITCH(J22, 1, "premium", 2, "mainstream", 3, "gaming", 4, "value")</f>
        <v>mainstream</v>
      </c>
    </row>
    <row r="23" spans="1:11" x14ac:dyDescent="0.15">
      <c r="A23" s="2">
        <v>22</v>
      </c>
      <c r="B23" s="2">
        <v>2</v>
      </c>
      <c r="C23" s="2" t="str">
        <f t="shared" si="0"/>
        <v>female</v>
      </c>
      <c r="D23" s="2">
        <v>1500</v>
      </c>
      <c r="E23" s="2">
        <v>6000</v>
      </c>
      <c r="F23" s="2">
        <v>7000</v>
      </c>
      <c r="G23" s="2">
        <v>18</v>
      </c>
      <c r="H23" s="2">
        <v>4</v>
      </c>
      <c r="I23" s="2" t="str">
        <f t="shared" si="1"/>
        <v>lite</v>
      </c>
      <c r="J23" s="2">
        <v>2</v>
      </c>
      <c r="K23" s="2" t="str" cm="1">
        <f t="array" ref="K23">_xlfn.SWITCH(J23, 1, "premium", 2, "mainstream", 3, "gaming", 4, "value")</f>
        <v>mainstream</v>
      </c>
    </row>
    <row r="24" spans="1:11" x14ac:dyDescent="0.15">
      <c r="A24" s="2">
        <v>23</v>
      </c>
      <c r="B24" s="2">
        <v>2</v>
      </c>
      <c r="C24" s="2" t="str">
        <f t="shared" si="0"/>
        <v>female</v>
      </c>
      <c r="D24" s="2">
        <v>1700</v>
      </c>
      <c r="E24" s="2">
        <v>3900</v>
      </c>
      <c r="F24" s="2">
        <v>4300</v>
      </c>
      <c r="G24" s="2">
        <v>18</v>
      </c>
      <c r="H24" s="2">
        <v>4</v>
      </c>
      <c r="I24" s="2" t="str">
        <f t="shared" si="1"/>
        <v>lite</v>
      </c>
      <c r="J24" s="2">
        <v>2</v>
      </c>
      <c r="K24" s="2" t="str" cm="1">
        <f t="array" ref="K24">_xlfn.SWITCH(J24, 1, "premium", 2, "mainstream", 3, "gaming", 4, "value")</f>
        <v>mainstream</v>
      </c>
    </row>
    <row r="25" spans="1:11" x14ac:dyDescent="0.15">
      <c r="A25" s="2">
        <v>24</v>
      </c>
      <c r="B25" s="2">
        <v>2</v>
      </c>
      <c r="C25" s="2" t="str">
        <f t="shared" si="0"/>
        <v>female</v>
      </c>
      <c r="D25" s="2">
        <v>2500</v>
      </c>
      <c r="E25" s="2">
        <v>10000</v>
      </c>
      <c r="F25" s="2">
        <v>6300</v>
      </c>
      <c r="G25" s="2">
        <v>36</v>
      </c>
      <c r="H25" s="2">
        <v>4</v>
      </c>
      <c r="I25" s="2" t="str">
        <f t="shared" si="1"/>
        <v>lite</v>
      </c>
      <c r="J25" s="2">
        <v>2</v>
      </c>
      <c r="K25" s="2" t="str" cm="1">
        <f t="array" ref="K25">_xlfn.SWITCH(J25, 1, "premium", 2, "mainstream", 3, "gaming", 4, "value")</f>
        <v>mainstream</v>
      </c>
    </row>
    <row r="26" spans="1:11" x14ac:dyDescent="0.15">
      <c r="A26" s="2">
        <v>25</v>
      </c>
      <c r="B26" s="2">
        <v>2</v>
      </c>
      <c r="C26" s="2" t="str">
        <f t="shared" si="0"/>
        <v>female</v>
      </c>
      <c r="D26" s="2">
        <v>2200</v>
      </c>
      <c r="E26" s="2">
        <v>2900</v>
      </c>
      <c r="F26" s="2">
        <v>5100</v>
      </c>
      <c r="G26" s="2">
        <v>17</v>
      </c>
      <c r="H26" s="2">
        <v>1</v>
      </c>
      <c r="I26" s="2" t="str">
        <f t="shared" si="1"/>
        <v>performance</v>
      </c>
      <c r="J26" s="2">
        <v>4</v>
      </c>
      <c r="K26" s="2" t="str" cm="1">
        <f t="array" ref="K26">_xlfn.SWITCH(J26, 1, "premium", 2, "mainstream", 3, "gaming", 4, "value")</f>
        <v>value</v>
      </c>
    </row>
    <row r="27" spans="1:11" x14ac:dyDescent="0.15">
      <c r="A27" s="2">
        <v>26</v>
      </c>
      <c r="B27" s="2">
        <v>2</v>
      </c>
      <c r="C27" s="2" t="str">
        <f t="shared" si="0"/>
        <v>female</v>
      </c>
      <c r="D27" s="2">
        <v>1500</v>
      </c>
      <c r="E27" s="2">
        <v>6000</v>
      </c>
      <c r="F27" s="2">
        <v>7000</v>
      </c>
      <c r="G27" s="2">
        <v>62</v>
      </c>
      <c r="H27" s="2">
        <v>4</v>
      </c>
      <c r="I27" s="2" t="str">
        <f t="shared" si="1"/>
        <v>lite</v>
      </c>
      <c r="J27" s="2">
        <v>2</v>
      </c>
      <c r="K27" s="2" t="str" cm="1">
        <f t="array" ref="K27">_xlfn.SWITCH(J27, 1, "premium", 2, "mainstream", 3, "gaming", 4, "value")</f>
        <v>mainstream</v>
      </c>
    </row>
    <row r="28" spans="1:11" x14ac:dyDescent="0.15">
      <c r="A28" s="2">
        <v>27</v>
      </c>
      <c r="B28" s="2">
        <v>1</v>
      </c>
      <c r="C28" s="2" t="str">
        <f t="shared" si="0"/>
        <v>male</v>
      </c>
      <c r="D28" s="2">
        <v>2000</v>
      </c>
      <c r="E28" s="2">
        <v>3400</v>
      </c>
      <c r="F28" s="2">
        <v>5600</v>
      </c>
      <c r="G28" s="2">
        <v>6</v>
      </c>
      <c r="H28" s="2">
        <v>4</v>
      </c>
      <c r="I28" s="2" t="str">
        <f t="shared" si="1"/>
        <v>lite</v>
      </c>
      <c r="J28" s="2">
        <v>2</v>
      </c>
      <c r="K28" s="2" t="str" cm="1">
        <f t="array" ref="K28">_xlfn.SWITCH(J28, 1, "premium", 2, "mainstream", 3, "gaming", 4, "value")</f>
        <v>mainstream</v>
      </c>
    </row>
    <row r="29" spans="1:11" x14ac:dyDescent="0.15">
      <c r="A29" s="2">
        <v>28</v>
      </c>
      <c r="B29" s="2">
        <v>2</v>
      </c>
      <c r="C29" s="2" t="str">
        <f t="shared" si="0"/>
        <v>female</v>
      </c>
      <c r="D29" s="2">
        <v>2000</v>
      </c>
      <c r="E29" s="2">
        <v>5999</v>
      </c>
      <c r="F29" s="2">
        <v>6789</v>
      </c>
      <c r="G29" s="2">
        <v>24</v>
      </c>
      <c r="H29" s="2">
        <v>1</v>
      </c>
      <c r="I29" s="2" t="str">
        <f t="shared" si="1"/>
        <v>performance</v>
      </c>
      <c r="J29" s="2">
        <v>3</v>
      </c>
      <c r="K29" s="2" t="str" cm="1">
        <f t="array" ref="K29">_xlfn.SWITCH(J29, 1, "premium", 2, "mainstream", 3, "gaming", 4, "value")</f>
        <v>gaming</v>
      </c>
    </row>
    <row r="30" spans="1:11" x14ac:dyDescent="0.15">
      <c r="A30" s="2">
        <v>29</v>
      </c>
      <c r="B30" s="2">
        <v>2</v>
      </c>
      <c r="C30" s="2" t="str">
        <f t="shared" si="0"/>
        <v>female</v>
      </c>
      <c r="D30" s="2">
        <v>2000</v>
      </c>
      <c r="E30" s="2">
        <v>3200</v>
      </c>
      <c r="F30" s="2">
        <v>5400</v>
      </c>
      <c r="G30" s="2">
        <v>18</v>
      </c>
      <c r="H30" s="2">
        <v>2</v>
      </c>
      <c r="I30" s="2" t="str">
        <f t="shared" si="1"/>
        <v>performance</v>
      </c>
      <c r="J30" s="2">
        <v>3</v>
      </c>
      <c r="K30" s="2" t="str" cm="1">
        <f t="array" ref="K30">_xlfn.SWITCH(J30, 1, "premium", 2, "mainstream", 3, "gaming", 4, "value")</f>
        <v>gaming</v>
      </c>
    </row>
    <row r="31" spans="1:11" x14ac:dyDescent="0.15">
      <c r="A31" s="2">
        <v>30</v>
      </c>
      <c r="B31" s="2">
        <v>2</v>
      </c>
      <c r="C31" s="2" t="str">
        <f t="shared" si="0"/>
        <v>female</v>
      </c>
      <c r="D31" s="2">
        <v>2000</v>
      </c>
      <c r="E31" s="2">
        <v>5499</v>
      </c>
      <c r="F31" s="2">
        <v>5320</v>
      </c>
      <c r="G31" s="2">
        <v>17</v>
      </c>
      <c r="H31" s="2">
        <v>1</v>
      </c>
      <c r="I31" s="2" t="str">
        <f t="shared" si="1"/>
        <v>performance</v>
      </c>
      <c r="J31" s="2">
        <v>2</v>
      </c>
      <c r="K31" s="2" t="str" cm="1">
        <f t="array" ref="K31">_xlfn.SWITCH(J31, 1, "premium", 2, "mainstream", 3, "gaming", 4, "value")</f>
        <v>mainstream</v>
      </c>
    </row>
    <row r="32" spans="1:11" x14ac:dyDescent="0.15">
      <c r="A32" s="2">
        <v>31</v>
      </c>
      <c r="B32" s="2">
        <v>2</v>
      </c>
      <c r="C32" s="2" t="str">
        <f t="shared" si="0"/>
        <v>female</v>
      </c>
      <c r="D32" s="2">
        <v>2000</v>
      </c>
      <c r="E32" s="2">
        <v>1800</v>
      </c>
      <c r="F32" s="2">
        <v>3000</v>
      </c>
      <c r="G32" s="2">
        <v>15</v>
      </c>
      <c r="H32" s="2">
        <v>3</v>
      </c>
      <c r="I32" s="2" t="str">
        <f t="shared" si="1"/>
        <v>performance</v>
      </c>
      <c r="J32" s="2">
        <v>4</v>
      </c>
      <c r="K32" s="2" t="str" cm="1">
        <f t="array" ref="K32">_xlfn.SWITCH(J32, 1, "premium", 2, "mainstream", 3, "gaming", 4, "value")</f>
        <v>value</v>
      </c>
    </row>
    <row r="33" spans="1:11" x14ac:dyDescent="0.15">
      <c r="A33" s="2">
        <v>32</v>
      </c>
      <c r="B33" s="2">
        <v>2</v>
      </c>
      <c r="C33" s="2" t="str">
        <f t="shared" si="0"/>
        <v>female</v>
      </c>
      <c r="D33" s="2">
        <v>1800</v>
      </c>
      <c r="E33" s="2">
        <v>3400</v>
      </c>
      <c r="F33" s="2">
        <v>4000</v>
      </c>
      <c r="G33" s="2">
        <v>41</v>
      </c>
      <c r="H33" s="2">
        <v>4</v>
      </c>
      <c r="I33" s="2" t="str">
        <f t="shared" si="1"/>
        <v>lite</v>
      </c>
      <c r="J33" s="2">
        <v>2</v>
      </c>
      <c r="K33" s="2" t="str" cm="1">
        <f t="array" ref="K33">_xlfn.SWITCH(J33, 1, "premium", 2, "mainstream", 3, "gaming", 4, "value")</f>
        <v>mainstream</v>
      </c>
    </row>
    <row r="34" spans="1:11" x14ac:dyDescent="0.15">
      <c r="A34" s="2">
        <v>33</v>
      </c>
      <c r="B34" s="2">
        <v>1</v>
      </c>
      <c r="C34" s="2" t="str">
        <f t="shared" si="0"/>
        <v>male</v>
      </c>
      <c r="D34" s="2">
        <v>1500</v>
      </c>
      <c r="E34" s="2">
        <v>3700</v>
      </c>
      <c r="F34" s="2">
        <v>6500</v>
      </c>
      <c r="G34" s="2">
        <v>20</v>
      </c>
      <c r="H34" s="2">
        <v>1</v>
      </c>
      <c r="I34" s="2" t="str">
        <f t="shared" si="1"/>
        <v>performance</v>
      </c>
      <c r="J34" s="2">
        <v>3</v>
      </c>
      <c r="K34" s="2" t="str" cm="1">
        <f t="array" ref="K34">_xlfn.SWITCH(J34, 1, "premium", 2, "mainstream", 3, "gaming", 4, "value")</f>
        <v>gaming</v>
      </c>
    </row>
    <row r="35" spans="1:11" x14ac:dyDescent="0.15">
      <c r="A35" s="2">
        <v>34</v>
      </c>
      <c r="B35" s="2">
        <v>2</v>
      </c>
      <c r="C35" s="2" t="str">
        <f t="shared" si="0"/>
        <v>female</v>
      </c>
      <c r="D35" s="2">
        <v>3000</v>
      </c>
      <c r="E35" s="2">
        <v>10999</v>
      </c>
      <c r="F35" s="2">
        <v>6199</v>
      </c>
      <c r="G35" s="2">
        <v>4</v>
      </c>
      <c r="H35" s="2">
        <v>4</v>
      </c>
      <c r="I35" s="2" t="str">
        <f t="shared" si="1"/>
        <v>lite</v>
      </c>
      <c r="J35" s="2">
        <v>2</v>
      </c>
      <c r="K35" s="2" t="str" cm="1">
        <f t="array" ref="K35">_xlfn.SWITCH(J35, 1, "premium", 2, "mainstream", 3, "gaming", 4, "value")</f>
        <v>mainstream</v>
      </c>
    </row>
    <row r="36" spans="1:11" x14ac:dyDescent="0.15">
      <c r="A36" s="2">
        <v>35</v>
      </c>
      <c r="B36" s="2">
        <v>2</v>
      </c>
      <c r="C36" s="2" t="str">
        <f t="shared" si="0"/>
        <v>female</v>
      </c>
      <c r="D36" s="2">
        <v>1500</v>
      </c>
      <c r="E36" s="2">
        <v>7900</v>
      </c>
      <c r="F36" s="2">
        <v>4500</v>
      </c>
      <c r="G36" s="2">
        <v>19</v>
      </c>
      <c r="H36" s="2">
        <v>4</v>
      </c>
      <c r="I36" s="2" t="str">
        <f t="shared" si="1"/>
        <v>lite</v>
      </c>
      <c r="J36" s="2">
        <v>2</v>
      </c>
      <c r="K36" s="2" t="str" cm="1">
        <f t="array" ref="K36">_xlfn.SWITCH(J36, 1, "premium", 2, "mainstream", 3, "gaming", 4, "value")</f>
        <v>mainstream</v>
      </c>
    </row>
    <row r="37" spans="1:11" x14ac:dyDescent="0.15">
      <c r="A37" s="2">
        <v>36</v>
      </c>
      <c r="B37" s="2">
        <v>2</v>
      </c>
      <c r="C37" s="2" t="str">
        <f t="shared" si="0"/>
        <v>female</v>
      </c>
      <c r="D37" s="2">
        <v>1700</v>
      </c>
      <c r="E37" s="2">
        <v>2500</v>
      </c>
      <c r="F37" s="2">
        <v>5000</v>
      </c>
      <c r="G37" s="2">
        <v>30</v>
      </c>
      <c r="H37" s="2">
        <v>2</v>
      </c>
      <c r="I37" s="2" t="str">
        <f t="shared" si="1"/>
        <v>performance</v>
      </c>
      <c r="J37" s="2">
        <v>4</v>
      </c>
      <c r="K37" s="2" t="str" cm="1">
        <f t="array" ref="K37">_xlfn.SWITCH(J37, 1, "premium", 2, "mainstream", 3, "gaming", 4, "value")</f>
        <v>value</v>
      </c>
    </row>
    <row r="38" spans="1:11" x14ac:dyDescent="0.15">
      <c r="A38" s="2">
        <v>37</v>
      </c>
      <c r="B38" s="2">
        <v>2</v>
      </c>
      <c r="C38" s="2" t="str">
        <f t="shared" si="0"/>
        <v>female</v>
      </c>
      <c r="D38" s="2">
        <v>2000</v>
      </c>
      <c r="E38" s="2">
        <v>4500</v>
      </c>
      <c r="F38" s="2">
        <v>6700</v>
      </c>
      <c r="G38" s="2">
        <v>18</v>
      </c>
      <c r="H38" s="2">
        <v>4</v>
      </c>
      <c r="I38" s="2" t="str">
        <f t="shared" si="1"/>
        <v>lite</v>
      </c>
      <c r="J38" s="2">
        <v>4</v>
      </c>
      <c r="K38" s="2" t="str" cm="1">
        <f t="array" ref="K38">_xlfn.SWITCH(J38, 1, "premium", 2, "mainstream", 3, "gaming", 4, "value")</f>
        <v>value</v>
      </c>
    </row>
    <row r="39" spans="1:11" x14ac:dyDescent="0.15">
      <c r="A39" s="2">
        <v>38</v>
      </c>
      <c r="B39" s="2">
        <v>2</v>
      </c>
      <c r="C39" s="2" t="str">
        <f t="shared" si="0"/>
        <v>female</v>
      </c>
      <c r="D39" s="2">
        <v>1600</v>
      </c>
      <c r="E39" s="2">
        <v>6000</v>
      </c>
      <c r="F39" s="2">
        <v>6000</v>
      </c>
      <c r="G39" s="2">
        <v>18</v>
      </c>
      <c r="H39" s="2">
        <v>3</v>
      </c>
      <c r="I39" s="2" t="str">
        <f t="shared" si="1"/>
        <v>performance</v>
      </c>
      <c r="J39" s="2">
        <v>2</v>
      </c>
      <c r="K39" s="2" t="str" cm="1">
        <f t="array" ref="K39">_xlfn.SWITCH(J39, 1, "premium", 2, "mainstream", 3, "gaming", 4, "value")</f>
        <v>mainstream</v>
      </c>
    </row>
    <row r="40" spans="1:11" x14ac:dyDescent="0.15">
      <c r="A40" s="2">
        <v>39</v>
      </c>
      <c r="B40" s="2">
        <v>2</v>
      </c>
      <c r="C40" s="2" t="str">
        <f t="shared" si="0"/>
        <v>female</v>
      </c>
      <c r="D40" s="2">
        <v>2000</v>
      </c>
      <c r="E40" s="2">
        <v>7500</v>
      </c>
      <c r="F40" s="2">
        <v>4700</v>
      </c>
      <c r="G40" s="2">
        <v>12</v>
      </c>
      <c r="H40" s="2">
        <v>1</v>
      </c>
      <c r="I40" s="2" t="str">
        <f t="shared" si="1"/>
        <v>performance</v>
      </c>
      <c r="J40" s="2">
        <v>4</v>
      </c>
      <c r="K40" s="2" t="str" cm="1">
        <f t="array" ref="K40">_xlfn.SWITCH(J40, 1, "premium", 2, "mainstream", 3, "gaming", 4, "value")</f>
        <v>value</v>
      </c>
    </row>
    <row r="41" spans="1:11" x14ac:dyDescent="0.15">
      <c r="A41" s="2">
        <v>40</v>
      </c>
      <c r="B41" s="2">
        <v>2</v>
      </c>
      <c r="C41" s="2" t="str">
        <f t="shared" si="0"/>
        <v>female</v>
      </c>
      <c r="D41" s="2">
        <v>1500</v>
      </c>
      <c r="E41" s="2">
        <v>5000</v>
      </c>
      <c r="F41" s="2">
        <v>3000</v>
      </c>
      <c r="G41" s="2">
        <v>24</v>
      </c>
      <c r="H41" s="2">
        <v>4</v>
      </c>
      <c r="I41" s="2" t="str">
        <f t="shared" si="1"/>
        <v>lite</v>
      </c>
      <c r="J41" s="2">
        <v>2</v>
      </c>
      <c r="K41" s="2" t="str" cm="1">
        <f t="array" ref="K41">_xlfn.SWITCH(J41, 1, "premium", 2, "mainstream", 3, "gaming", 4, "value")</f>
        <v>mainstream</v>
      </c>
    </row>
    <row r="42" spans="1:11" x14ac:dyDescent="0.15">
      <c r="A42" s="2">
        <v>41</v>
      </c>
      <c r="B42" s="2">
        <v>1</v>
      </c>
      <c r="C42" s="2" t="str">
        <f t="shared" si="0"/>
        <v>male</v>
      </c>
      <c r="D42" s="2">
        <v>2000</v>
      </c>
      <c r="E42" s="2">
        <v>5300</v>
      </c>
      <c r="F42" s="2">
        <v>5000</v>
      </c>
      <c r="G42" s="2">
        <v>12</v>
      </c>
      <c r="H42" s="2">
        <v>1</v>
      </c>
      <c r="I42" s="2" t="str">
        <f t="shared" si="1"/>
        <v>performance</v>
      </c>
      <c r="J42" s="2">
        <v>4</v>
      </c>
      <c r="K42" s="2" t="str" cm="1">
        <f t="array" ref="K42">_xlfn.SWITCH(J42, 1, "premium", 2, "mainstream", 3, "gaming", 4, "value")</f>
        <v>value</v>
      </c>
    </row>
    <row r="43" spans="1:11" x14ac:dyDescent="0.15">
      <c r="A43" s="2">
        <v>42</v>
      </c>
      <c r="B43" s="2">
        <v>1</v>
      </c>
      <c r="C43" s="2" t="str">
        <f t="shared" si="0"/>
        <v>male</v>
      </c>
      <c r="D43" s="2">
        <v>2000</v>
      </c>
      <c r="E43" s="2">
        <v>4500</v>
      </c>
      <c r="F43" s="2">
        <v>7299</v>
      </c>
      <c r="G43" s="2">
        <v>18</v>
      </c>
      <c r="H43" s="2">
        <v>1</v>
      </c>
      <c r="I43" s="2" t="str">
        <f t="shared" si="1"/>
        <v>performance</v>
      </c>
      <c r="J43" s="2">
        <v>2</v>
      </c>
      <c r="K43" s="2" t="str" cm="1">
        <f t="array" ref="K43">_xlfn.SWITCH(J43, 1, "premium", 2, "mainstream", 3, "gaming", 4, "value")</f>
        <v>mainstream</v>
      </c>
    </row>
    <row r="44" spans="1:11" x14ac:dyDescent="0.15">
      <c r="A44" s="2">
        <v>43</v>
      </c>
      <c r="B44" s="2">
        <v>2</v>
      </c>
      <c r="C44" s="2" t="str">
        <f t="shared" si="0"/>
        <v>female</v>
      </c>
      <c r="D44" s="2">
        <v>7000</v>
      </c>
      <c r="E44" s="2">
        <v>2390</v>
      </c>
      <c r="F44" s="2">
        <v>6600</v>
      </c>
      <c r="G44" s="2">
        <v>9</v>
      </c>
      <c r="H44" s="2">
        <v>4</v>
      </c>
      <c r="I44" s="2" t="str">
        <f t="shared" si="1"/>
        <v>lite</v>
      </c>
      <c r="J44" s="2">
        <v>2</v>
      </c>
      <c r="K44" s="2" t="str" cm="1">
        <f t="array" ref="K44">_xlfn.SWITCH(J44, 1, "premium", 2, "mainstream", 3, "gaming", 4, "value")</f>
        <v>mainstream</v>
      </c>
    </row>
    <row r="45" spans="1:11" x14ac:dyDescent="0.15">
      <c r="A45" s="2">
        <v>44</v>
      </c>
      <c r="B45" s="2">
        <v>2</v>
      </c>
      <c r="C45" s="2" t="str">
        <f t="shared" si="0"/>
        <v>female</v>
      </c>
      <c r="D45" s="2">
        <v>2000</v>
      </c>
      <c r="E45" s="2">
        <v>7000</v>
      </c>
      <c r="F45" s="2">
        <v>6500</v>
      </c>
      <c r="G45" s="2">
        <v>18</v>
      </c>
      <c r="H45" s="2">
        <v>1</v>
      </c>
      <c r="I45" s="2" t="str">
        <f t="shared" si="1"/>
        <v>performance</v>
      </c>
      <c r="J45" s="2">
        <v>1</v>
      </c>
      <c r="K45" s="2" t="str" cm="1">
        <f t="array" ref="K45">_xlfn.SWITCH(J45, 1, "premium", 2, "mainstream", 3, "gaming", 4, "value")</f>
        <v>premium</v>
      </c>
    </row>
    <row r="46" spans="1:11" x14ac:dyDescent="0.15">
      <c r="A46" s="2">
        <v>45</v>
      </c>
      <c r="B46" s="2">
        <v>2</v>
      </c>
      <c r="C46" s="2" t="str">
        <f t="shared" si="0"/>
        <v>female</v>
      </c>
      <c r="D46" s="2">
        <v>1800</v>
      </c>
      <c r="E46" s="2">
        <v>4900</v>
      </c>
      <c r="F46" s="2">
        <v>6900</v>
      </c>
      <c r="G46" s="2">
        <v>19</v>
      </c>
      <c r="H46" s="2">
        <v>4</v>
      </c>
      <c r="I46" s="2" t="str">
        <f t="shared" si="1"/>
        <v>lite</v>
      </c>
      <c r="J46" s="2">
        <v>2</v>
      </c>
      <c r="K46" s="2" t="str" cm="1">
        <f t="array" ref="K46">_xlfn.SWITCH(J46, 1, "premium", 2, "mainstream", 3, "gaming", 4, "value")</f>
        <v>mainstream</v>
      </c>
    </row>
    <row r="47" spans="1:11" x14ac:dyDescent="0.15">
      <c r="A47" s="2">
        <v>46</v>
      </c>
      <c r="B47" s="2">
        <v>2</v>
      </c>
      <c r="C47" s="2" t="str">
        <f t="shared" si="0"/>
        <v>female</v>
      </c>
      <c r="D47" s="2">
        <v>1400</v>
      </c>
      <c r="E47" s="2">
        <v>2450</v>
      </c>
      <c r="F47" s="2">
        <v>7800</v>
      </c>
      <c r="G47" s="2">
        <v>12</v>
      </c>
      <c r="H47" s="2">
        <v>4</v>
      </c>
      <c r="I47" s="2" t="str">
        <f t="shared" si="1"/>
        <v>lite</v>
      </c>
      <c r="J47" s="2">
        <v>2</v>
      </c>
      <c r="K47" s="2" t="str" cm="1">
        <f t="array" ref="K47">_xlfn.SWITCH(J47, 1, "premium", 2, "mainstream", 3, "gaming", 4, "value")</f>
        <v>mainstream</v>
      </c>
    </row>
    <row r="48" spans="1:11" x14ac:dyDescent="0.15">
      <c r="A48" s="2">
        <v>47</v>
      </c>
      <c r="B48" s="2">
        <v>1</v>
      </c>
      <c r="C48" s="2" t="str">
        <f t="shared" si="0"/>
        <v>male</v>
      </c>
      <c r="D48" s="2">
        <v>1000</v>
      </c>
      <c r="E48" s="2">
        <v>2200</v>
      </c>
      <c r="F48" s="2">
        <v>6200</v>
      </c>
      <c r="G48" s="2">
        <v>21</v>
      </c>
      <c r="H48" s="2">
        <v>1</v>
      </c>
      <c r="I48" s="2" t="str">
        <f t="shared" si="1"/>
        <v>performance</v>
      </c>
      <c r="J48" s="2">
        <v>2</v>
      </c>
      <c r="K48" s="2" t="str" cm="1">
        <f t="array" ref="K48">_xlfn.SWITCH(J48, 1, "premium", 2, "mainstream", 3, "gaming", 4, "value")</f>
        <v>mainstream</v>
      </c>
    </row>
    <row r="49" spans="1:11" x14ac:dyDescent="0.15">
      <c r="A49" s="2">
        <v>48</v>
      </c>
      <c r="B49" s="2">
        <v>2</v>
      </c>
      <c r="C49" s="2" t="str">
        <f t="shared" si="0"/>
        <v>female</v>
      </c>
      <c r="D49" s="2">
        <v>2000</v>
      </c>
      <c r="E49" s="2">
        <v>5600</v>
      </c>
      <c r="F49" s="2">
        <v>5800</v>
      </c>
      <c r="G49" s="2">
        <v>20</v>
      </c>
      <c r="H49" s="2">
        <v>4</v>
      </c>
      <c r="I49" s="2" t="str">
        <f t="shared" si="1"/>
        <v>lite</v>
      </c>
      <c r="J49" s="2">
        <v>2</v>
      </c>
      <c r="K49" s="2" t="str" cm="1">
        <f t="array" ref="K49">_xlfn.SWITCH(J49, 1, "premium", 2, "mainstream", 3, "gaming", 4, "value")</f>
        <v>mainstream</v>
      </c>
    </row>
    <row r="50" spans="1:11" x14ac:dyDescent="0.15">
      <c r="A50" s="2">
        <v>49</v>
      </c>
      <c r="B50" s="2">
        <v>2</v>
      </c>
      <c r="C50" s="2" t="str">
        <f t="shared" si="0"/>
        <v>female</v>
      </c>
      <c r="D50" s="2">
        <v>2000</v>
      </c>
      <c r="E50" s="2">
        <v>7000</v>
      </c>
      <c r="F50" s="2">
        <v>3500</v>
      </c>
      <c r="G50" s="2">
        <v>19</v>
      </c>
      <c r="H50" s="2">
        <v>4</v>
      </c>
      <c r="I50" s="2" t="str">
        <f t="shared" si="1"/>
        <v>lite</v>
      </c>
      <c r="J50" s="2">
        <v>2</v>
      </c>
      <c r="K50" s="2" t="str" cm="1">
        <f t="array" ref="K50">_xlfn.SWITCH(J50, 1, "premium", 2, "mainstream", 3, "gaming", 4, "value")</f>
        <v>mainstream</v>
      </c>
    </row>
    <row r="51" spans="1:11" x14ac:dyDescent="0.15">
      <c r="A51" s="2">
        <v>50</v>
      </c>
      <c r="B51" s="2">
        <v>2</v>
      </c>
      <c r="C51" s="2" t="str">
        <f t="shared" si="0"/>
        <v>female</v>
      </c>
      <c r="D51" s="2">
        <v>1000</v>
      </c>
      <c r="E51" s="2">
        <v>2200</v>
      </c>
      <c r="F51" s="2">
        <v>4500</v>
      </c>
      <c r="G51" s="2">
        <v>18</v>
      </c>
      <c r="H51" s="2">
        <v>4</v>
      </c>
      <c r="I51" s="2" t="str">
        <f t="shared" si="1"/>
        <v>lite</v>
      </c>
      <c r="J51" s="2">
        <v>2</v>
      </c>
      <c r="K51" s="2" t="str" cm="1">
        <f t="array" ref="K51">_xlfn.SWITCH(J51, 1, "premium", 2, "mainstream", 3, "gaming", 4, "value")</f>
        <v>mainstream</v>
      </c>
    </row>
    <row r="52" spans="1:11" x14ac:dyDescent="0.15">
      <c r="A52" s="2">
        <v>51</v>
      </c>
      <c r="B52" s="2">
        <v>1</v>
      </c>
      <c r="C52" s="2" t="str">
        <f t="shared" si="0"/>
        <v>male</v>
      </c>
      <c r="D52" s="2">
        <v>1500</v>
      </c>
      <c r="E52" s="2">
        <v>1200</v>
      </c>
      <c r="F52" s="2">
        <v>5500</v>
      </c>
      <c r="G52" s="2">
        <v>6</v>
      </c>
      <c r="H52" s="2">
        <v>4</v>
      </c>
      <c r="I52" s="2" t="str">
        <f t="shared" si="1"/>
        <v>lite</v>
      </c>
      <c r="J52" s="2">
        <v>2</v>
      </c>
      <c r="K52" s="2" t="str" cm="1">
        <f t="array" ref="K52">_xlfn.SWITCH(J52, 1, "premium", 2, "mainstream", 3, "gaming", 4, "value")</f>
        <v>mainstream</v>
      </c>
    </row>
    <row r="53" spans="1:11" x14ac:dyDescent="0.15">
      <c r="A53" s="2">
        <v>52</v>
      </c>
      <c r="B53" s="2">
        <v>2</v>
      </c>
      <c r="C53" s="2" t="str">
        <f t="shared" si="0"/>
        <v>female</v>
      </c>
      <c r="D53" s="2">
        <v>2000</v>
      </c>
      <c r="E53" s="2">
        <v>6499</v>
      </c>
      <c r="F53" s="2">
        <v>7999</v>
      </c>
      <c r="G53" s="2">
        <v>18</v>
      </c>
      <c r="H53" s="2">
        <v>1</v>
      </c>
      <c r="I53" s="2" t="str">
        <f t="shared" si="1"/>
        <v>performance</v>
      </c>
      <c r="J53" s="2">
        <v>3</v>
      </c>
      <c r="K53" s="2" t="str" cm="1">
        <f t="array" ref="K53">_xlfn.SWITCH(J53, 1, "premium", 2, "mainstream", 3, "gaming", 4, "value")</f>
        <v>gaming</v>
      </c>
    </row>
    <row r="54" spans="1:11" x14ac:dyDescent="0.15">
      <c r="A54" s="2">
        <v>53</v>
      </c>
      <c r="B54" s="2">
        <v>2</v>
      </c>
      <c r="C54" s="2" t="str">
        <f t="shared" si="0"/>
        <v>female</v>
      </c>
      <c r="D54" s="2">
        <v>2000</v>
      </c>
      <c r="E54" s="2">
        <v>8700</v>
      </c>
      <c r="F54" s="2">
        <v>9300</v>
      </c>
      <c r="G54" s="2">
        <v>26</v>
      </c>
      <c r="H54" s="2">
        <v>3</v>
      </c>
      <c r="I54" s="2" t="str">
        <f t="shared" si="1"/>
        <v>performance</v>
      </c>
      <c r="J54" s="2">
        <v>3</v>
      </c>
      <c r="K54" s="2" t="str" cm="1">
        <f t="array" ref="K54">_xlfn.SWITCH(J54, 1, "premium", 2, "mainstream", 3, "gaming", 4, "value")</f>
        <v>gaming</v>
      </c>
    </row>
    <row r="55" spans="1:11" x14ac:dyDescent="0.15">
      <c r="A55" s="2">
        <v>54</v>
      </c>
      <c r="B55" s="2">
        <v>2</v>
      </c>
      <c r="C55" s="2" t="str">
        <f t="shared" si="0"/>
        <v>female</v>
      </c>
      <c r="D55" s="2">
        <v>4000</v>
      </c>
      <c r="E55" s="2">
        <v>3599</v>
      </c>
      <c r="F55" s="2">
        <v>4099</v>
      </c>
      <c r="G55" s="2">
        <v>36</v>
      </c>
      <c r="H55" s="2">
        <v>4</v>
      </c>
      <c r="I55" s="2" t="str">
        <f t="shared" si="1"/>
        <v>lite</v>
      </c>
      <c r="J55" s="2">
        <v>2</v>
      </c>
      <c r="K55" s="2" t="str" cm="1">
        <f t="array" ref="K55">_xlfn.SWITCH(J55, 1, "premium", 2, "mainstream", 3, "gaming", 4, "value")</f>
        <v>mainstream</v>
      </c>
    </row>
    <row r="56" spans="1:11" x14ac:dyDescent="0.15">
      <c r="A56" s="2">
        <v>55</v>
      </c>
      <c r="B56" s="2">
        <v>2</v>
      </c>
      <c r="C56" s="2" t="str">
        <f t="shared" si="0"/>
        <v>female</v>
      </c>
      <c r="D56" s="2">
        <v>32679</v>
      </c>
      <c r="E56" s="2">
        <v>3105</v>
      </c>
      <c r="F56" s="2">
        <v>4200</v>
      </c>
      <c r="G56" s="2">
        <v>12</v>
      </c>
      <c r="H56" s="2">
        <v>4</v>
      </c>
      <c r="I56" s="2" t="str">
        <f t="shared" si="1"/>
        <v>lite</v>
      </c>
      <c r="J56" s="2">
        <v>2</v>
      </c>
      <c r="K56" s="2" t="str" cm="1">
        <f t="array" ref="K56">_xlfn.SWITCH(J56, 1, "premium", 2, "mainstream", 3, "gaming", 4, "value")</f>
        <v>mainstream</v>
      </c>
    </row>
    <row r="57" spans="1:11" x14ac:dyDescent="0.15">
      <c r="A57" s="2">
        <v>56</v>
      </c>
      <c r="B57" s="2">
        <v>2</v>
      </c>
      <c r="C57" s="2" t="str">
        <f t="shared" si="0"/>
        <v>female</v>
      </c>
      <c r="D57" s="2">
        <v>2200</v>
      </c>
      <c r="E57" s="2">
        <v>6000</v>
      </c>
      <c r="F57" s="2">
        <v>6000</v>
      </c>
      <c r="G57" s="2">
        <v>18</v>
      </c>
      <c r="H57" s="2">
        <v>4</v>
      </c>
      <c r="I57" s="2" t="str">
        <f t="shared" si="1"/>
        <v>lite</v>
      </c>
      <c r="J57" s="2">
        <v>2</v>
      </c>
      <c r="K57" s="2" t="str" cm="1">
        <f t="array" ref="K57">_xlfn.SWITCH(J57, 1, "premium", 2, "mainstream", 3, "gaming", 4, "value")</f>
        <v>mainstream</v>
      </c>
    </row>
    <row r="58" spans="1:11" x14ac:dyDescent="0.15">
      <c r="A58" s="2">
        <v>57</v>
      </c>
      <c r="B58" s="2">
        <v>2</v>
      </c>
      <c r="C58" s="2" t="str">
        <f t="shared" si="0"/>
        <v>female</v>
      </c>
      <c r="D58" s="2">
        <v>2000</v>
      </c>
      <c r="E58" s="2">
        <v>1200</v>
      </c>
      <c r="F58" s="2">
        <v>2900</v>
      </c>
      <c r="G58" s="2">
        <v>10</v>
      </c>
      <c r="H58" s="2">
        <v>4</v>
      </c>
      <c r="I58" s="2" t="str">
        <f t="shared" si="1"/>
        <v>lite</v>
      </c>
      <c r="J58" s="2">
        <v>2</v>
      </c>
      <c r="K58" s="2" t="str" cm="1">
        <f t="array" ref="K58">_xlfn.SWITCH(J58, 1, "premium", 2, "mainstream", 3, "gaming", 4, "value")</f>
        <v>mainstream</v>
      </c>
    </row>
    <row r="59" spans="1:11" x14ac:dyDescent="0.15">
      <c r="A59" s="2">
        <v>58</v>
      </c>
      <c r="B59" s="2">
        <v>2</v>
      </c>
      <c r="C59" s="2" t="str">
        <f t="shared" si="0"/>
        <v>female</v>
      </c>
      <c r="D59" s="2">
        <v>1500</v>
      </c>
      <c r="E59" s="2">
        <v>2200</v>
      </c>
      <c r="F59" s="2">
        <v>4600</v>
      </c>
      <c r="G59" s="2">
        <v>6</v>
      </c>
      <c r="H59" s="2">
        <v>4</v>
      </c>
      <c r="I59" s="2" t="str">
        <f t="shared" si="1"/>
        <v>lite</v>
      </c>
      <c r="J59" s="2">
        <v>2</v>
      </c>
      <c r="K59" s="2" t="str" cm="1">
        <f t="array" ref="K59">_xlfn.SWITCH(J59, 1, "premium", 2, "mainstream", 3, "gaming", 4, "value")</f>
        <v>mainstream</v>
      </c>
    </row>
    <row r="60" spans="1:11" x14ac:dyDescent="0.15">
      <c r="A60" s="2">
        <v>59</v>
      </c>
      <c r="B60" s="2">
        <v>2</v>
      </c>
      <c r="C60" s="2" t="str">
        <f t="shared" si="0"/>
        <v>female</v>
      </c>
      <c r="D60" s="2">
        <v>1800</v>
      </c>
      <c r="E60" s="2">
        <v>2100</v>
      </c>
      <c r="F60" s="2">
        <v>3197</v>
      </c>
      <c r="G60" s="2">
        <v>19</v>
      </c>
      <c r="H60" s="2">
        <v>4</v>
      </c>
      <c r="I60" s="2" t="str">
        <f t="shared" si="1"/>
        <v>lite</v>
      </c>
      <c r="J60" s="2">
        <v>4</v>
      </c>
      <c r="K60" s="2" t="str" cm="1">
        <f t="array" ref="K60">_xlfn.SWITCH(J60, 1, "premium", 2, "mainstream", 3, "gaming", 4, "value")</f>
        <v>value</v>
      </c>
    </row>
    <row r="61" spans="1:11" x14ac:dyDescent="0.15">
      <c r="A61" s="2">
        <v>60</v>
      </c>
      <c r="B61" s="2">
        <v>2</v>
      </c>
      <c r="C61" s="2" t="str">
        <f t="shared" si="0"/>
        <v>female</v>
      </c>
      <c r="D61" s="2">
        <v>2300</v>
      </c>
      <c r="E61" s="2">
        <v>7000</v>
      </c>
      <c r="F61" s="2">
        <v>4000</v>
      </c>
      <c r="G61" s="2">
        <v>20</v>
      </c>
      <c r="H61" s="2">
        <v>4</v>
      </c>
      <c r="I61" s="2" t="str">
        <f t="shared" si="1"/>
        <v>lite</v>
      </c>
      <c r="J61" s="2">
        <v>2</v>
      </c>
      <c r="K61" s="2" t="str" cm="1">
        <f t="array" ref="K61">_xlfn.SWITCH(J61, 1, "premium", 2, "mainstream", 3, "gaming", 4, "value")</f>
        <v>mainstream</v>
      </c>
    </row>
    <row r="62" spans="1:11" x14ac:dyDescent="0.15">
      <c r="A62" s="2">
        <v>61</v>
      </c>
      <c r="B62" s="2">
        <v>2</v>
      </c>
      <c r="C62" s="2" t="str">
        <f t="shared" si="0"/>
        <v>female</v>
      </c>
      <c r="D62" s="2">
        <v>2500</v>
      </c>
      <c r="E62" s="2">
        <v>7999</v>
      </c>
      <c r="F62" s="2">
        <v>3999</v>
      </c>
      <c r="G62" s="2">
        <v>36</v>
      </c>
      <c r="H62" s="2">
        <v>4</v>
      </c>
      <c r="I62" s="2" t="str">
        <f t="shared" si="1"/>
        <v>lite</v>
      </c>
      <c r="J62" s="2">
        <v>2</v>
      </c>
      <c r="K62" s="2" t="str" cm="1">
        <f t="array" ref="K62">_xlfn.SWITCH(J62, 1, "premium", 2, "mainstream", 3, "gaming", 4, "value")</f>
        <v>mainstream</v>
      </c>
    </row>
    <row r="63" spans="1:11" x14ac:dyDescent="0.15">
      <c r="A63" s="2">
        <v>62</v>
      </c>
      <c r="B63" s="2">
        <v>2</v>
      </c>
      <c r="C63" s="2" t="str">
        <f t="shared" si="0"/>
        <v>female</v>
      </c>
      <c r="D63" s="2">
        <v>1600</v>
      </c>
      <c r="E63" s="2">
        <v>3900</v>
      </c>
      <c r="F63" s="2">
        <v>6000</v>
      </c>
      <c r="G63" s="2">
        <v>13</v>
      </c>
      <c r="H63" s="2">
        <v>4</v>
      </c>
      <c r="I63" s="2" t="str">
        <f t="shared" si="1"/>
        <v>lite</v>
      </c>
      <c r="J63" s="2">
        <v>3</v>
      </c>
      <c r="K63" s="2" t="str" cm="1">
        <f t="array" ref="K63">_xlfn.SWITCH(J63, 1, "premium", 2, "mainstream", 3, "gaming", 4, "value")</f>
        <v>gaming</v>
      </c>
    </row>
    <row r="64" spans="1:11" x14ac:dyDescent="0.15">
      <c r="A64" s="2">
        <v>63</v>
      </c>
      <c r="B64" s="2">
        <v>2</v>
      </c>
      <c r="C64" s="2" t="str">
        <f t="shared" si="0"/>
        <v>female</v>
      </c>
      <c r="D64" s="2">
        <v>2000</v>
      </c>
      <c r="E64" s="2">
        <v>7000</v>
      </c>
      <c r="F64" s="2">
        <v>8000</v>
      </c>
      <c r="G64" s="2">
        <v>24</v>
      </c>
      <c r="H64" s="2">
        <v>4</v>
      </c>
      <c r="I64" s="2" t="str">
        <f t="shared" si="1"/>
        <v>lite</v>
      </c>
      <c r="J64" s="2">
        <v>4</v>
      </c>
      <c r="K64" s="2" t="str" cm="1">
        <f t="array" ref="K64">_xlfn.SWITCH(J64, 1, "premium", 2, "mainstream", 3, "gaming", 4, "value")</f>
        <v>value</v>
      </c>
    </row>
    <row r="65" spans="1:11" x14ac:dyDescent="0.15">
      <c r="A65" s="2">
        <v>64</v>
      </c>
      <c r="B65" s="2">
        <v>2</v>
      </c>
      <c r="C65" s="2" t="str">
        <f t="shared" si="0"/>
        <v>female</v>
      </c>
      <c r="D65" s="2">
        <v>1800</v>
      </c>
      <c r="E65" s="2">
        <v>2600</v>
      </c>
      <c r="F65" s="2">
        <v>10000</v>
      </c>
      <c r="G65" s="2">
        <v>24</v>
      </c>
      <c r="H65" s="2">
        <v>3</v>
      </c>
      <c r="I65" s="2" t="str">
        <f t="shared" si="1"/>
        <v>performance</v>
      </c>
      <c r="J65" s="2">
        <v>2</v>
      </c>
      <c r="K65" s="2" t="str" cm="1">
        <f t="array" ref="K65">_xlfn.SWITCH(J65, 1, "premium", 2, "mainstream", 3, "gaming", 4, "value")</f>
        <v>mainstream</v>
      </c>
    </row>
    <row r="66" spans="1:11" x14ac:dyDescent="0.15">
      <c r="A66" s="2">
        <v>65</v>
      </c>
      <c r="B66" s="2">
        <v>2</v>
      </c>
      <c r="C66" s="2" t="str">
        <f t="shared" si="0"/>
        <v>female</v>
      </c>
      <c r="D66" s="2">
        <v>1800</v>
      </c>
      <c r="E66" s="2">
        <v>4500</v>
      </c>
      <c r="F66" s="2">
        <v>5500</v>
      </c>
      <c r="G66" s="2">
        <v>14</v>
      </c>
      <c r="H66" s="2">
        <v>4</v>
      </c>
      <c r="I66" s="2" t="str">
        <f t="shared" si="1"/>
        <v>lite</v>
      </c>
      <c r="J66" s="2">
        <v>2</v>
      </c>
      <c r="K66" s="2" t="str" cm="1">
        <f t="array" ref="K66">_xlfn.SWITCH(J66, 1, "premium", 2, "mainstream", 3, "gaming", 4, "value")</f>
        <v>mainstream</v>
      </c>
    </row>
    <row r="67" spans="1:11" x14ac:dyDescent="0.15">
      <c r="A67" s="2">
        <v>66</v>
      </c>
      <c r="B67" s="2">
        <v>2</v>
      </c>
      <c r="C67" s="2" t="str">
        <f t="shared" ref="C67:C130" si="2">IF(B67=1,"male","female")</f>
        <v>female</v>
      </c>
      <c r="D67" s="2">
        <v>1600</v>
      </c>
      <c r="E67" s="2">
        <v>1700</v>
      </c>
      <c r="F67" s="2">
        <v>1800</v>
      </c>
      <c r="G67" s="2">
        <v>16</v>
      </c>
      <c r="H67" s="2">
        <v>4</v>
      </c>
      <c r="I67" s="2" t="str">
        <f t="shared" ref="I67:I130" si="3">IF(H67=4,"lite","performance")</f>
        <v>lite</v>
      </c>
      <c r="J67" s="2">
        <v>2</v>
      </c>
      <c r="K67" s="2" t="str" cm="1">
        <f t="array" ref="K67">_xlfn.SWITCH(J67, 1, "premium", 2, "mainstream", 3, "gaming", 4, "value")</f>
        <v>mainstream</v>
      </c>
    </row>
    <row r="68" spans="1:11" x14ac:dyDescent="0.15">
      <c r="A68" s="2">
        <v>67</v>
      </c>
      <c r="B68" s="2">
        <v>1</v>
      </c>
      <c r="C68" s="2" t="str">
        <f t="shared" si="2"/>
        <v>male</v>
      </c>
      <c r="D68" s="2">
        <v>2200</v>
      </c>
      <c r="E68" s="2">
        <v>2400</v>
      </c>
      <c r="F68" s="2">
        <v>8500</v>
      </c>
      <c r="G68" s="2">
        <v>16</v>
      </c>
      <c r="H68" s="2">
        <v>1</v>
      </c>
      <c r="I68" s="2" t="str">
        <f t="shared" si="3"/>
        <v>performance</v>
      </c>
      <c r="J68" s="2">
        <v>2</v>
      </c>
      <c r="K68" s="2" t="str" cm="1">
        <f t="array" ref="K68">_xlfn.SWITCH(J68, 1, "premium", 2, "mainstream", 3, "gaming", 4, "value")</f>
        <v>mainstream</v>
      </c>
    </row>
    <row r="69" spans="1:11" x14ac:dyDescent="0.15">
      <c r="A69" s="2">
        <v>68</v>
      </c>
      <c r="B69" s="2">
        <v>2</v>
      </c>
      <c r="C69" s="2" t="str">
        <f t="shared" si="2"/>
        <v>female</v>
      </c>
      <c r="D69" s="2">
        <v>2500</v>
      </c>
      <c r="E69" s="2">
        <v>5299</v>
      </c>
      <c r="F69" s="2">
        <v>9600</v>
      </c>
      <c r="G69" s="2">
        <v>21</v>
      </c>
      <c r="H69" s="2">
        <v>4</v>
      </c>
      <c r="I69" s="2" t="str">
        <f t="shared" si="3"/>
        <v>lite</v>
      </c>
      <c r="J69" s="2">
        <v>1</v>
      </c>
      <c r="K69" s="2" t="str" cm="1">
        <f t="array" ref="K69">_xlfn.SWITCH(J69, 1, "premium", 2, "mainstream", 3, "gaming", 4, "value")</f>
        <v>premium</v>
      </c>
    </row>
    <row r="70" spans="1:11" x14ac:dyDescent="0.15">
      <c r="A70" s="2">
        <v>69</v>
      </c>
      <c r="B70" s="2">
        <v>2</v>
      </c>
      <c r="C70" s="2" t="str">
        <f t="shared" si="2"/>
        <v>female</v>
      </c>
      <c r="D70" s="2">
        <v>1500</v>
      </c>
      <c r="E70" s="2">
        <v>2300</v>
      </c>
      <c r="F70" s="2">
        <v>3000</v>
      </c>
      <c r="G70" s="2">
        <v>18</v>
      </c>
      <c r="H70" s="2">
        <v>4</v>
      </c>
      <c r="I70" s="2" t="str">
        <f t="shared" si="3"/>
        <v>lite</v>
      </c>
      <c r="J70" s="2">
        <v>2</v>
      </c>
      <c r="K70" s="2" t="str" cm="1">
        <f t="array" ref="K70">_xlfn.SWITCH(J70, 1, "premium", 2, "mainstream", 3, "gaming", 4, "value")</f>
        <v>mainstream</v>
      </c>
    </row>
    <row r="71" spans="1:11" x14ac:dyDescent="0.15">
      <c r="A71" s="2">
        <v>70</v>
      </c>
      <c r="B71" s="2">
        <v>2</v>
      </c>
      <c r="C71" s="2" t="str">
        <f t="shared" si="2"/>
        <v>female</v>
      </c>
      <c r="D71" s="2">
        <v>1000</v>
      </c>
      <c r="E71" s="2">
        <v>3499</v>
      </c>
      <c r="F71" s="2">
        <v>4400</v>
      </c>
      <c r="G71" s="2">
        <v>18</v>
      </c>
      <c r="H71" s="2">
        <v>4</v>
      </c>
      <c r="I71" s="2" t="str">
        <f t="shared" si="3"/>
        <v>lite</v>
      </c>
      <c r="J71" s="2">
        <v>2</v>
      </c>
      <c r="K71" s="2" t="str" cm="1">
        <f t="array" ref="K71">_xlfn.SWITCH(J71, 1, "premium", 2, "mainstream", 3, "gaming", 4, "value")</f>
        <v>mainstream</v>
      </c>
    </row>
    <row r="72" spans="1:11" x14ac:dyDescent="0.15">
      <c r="A72" s="2">
        <v>71</v>
      </c>
      <c r="B72" s="2">
        <v>2</v>
      </c>
      <c r="C72" s="2" t="str">
        <f t="shared" si="2"/>
        <v>female</v>
      </c>
      <c r="D72" s="2">
        <v>800</v>
      </c>
      <c r="E72" s="2">
        <v>5499</v>
      </c>
      <c r="F72" s="2">
        <v>8999</v>
      </c>
      <c r="G72" s="2">
        <v>14</v>
      </c>
      <c r="H72" s="2">
        <v>4</v>
      </c>
      <c r="I72" s="2" t="str">
        <f t="shared" si="3"/>
        <v>lite</v>
      </c>
      <c r="J72" s="2">
        <v>2</v>
      </c>
      <c r="K72" s="2" t="str" cm="1">
        <f t="array" ref="K72">_xlfn.SWITCH(J72, 1, "premium", 2, "mainstream", 3, "gaming", 4, "value")</f>
        <v>mainstream</v>
      </c>
    </row>
    <row r="73" spans="1:11" x14ac:dyDescent="0.15">
      <c r="A73" s="2">
        <v>72</v>
      </c>
      <c r="B73" s="2">
        <v>2</v>
      </c>
      <c r="C73" s="2" t="str">
        <f t="shared" si="2"/>
        <v>female</v>
      </c>
      <c r="D73" s="2">
        <v>1500</v>
      </c>
      <c r="E73" s="2">
        <v>6000</v>
      </c>
      <c r="F73" s="2">
        <v>6000</v>
      </c>
      <c r="G73" s="2">
        <v>12</v>
      </c>
      <c r="H73" s="2">
        <v>4</v>
      </c>
      <c r="I73" s="2" t="str">
        <f t="shared" si="3"/>
        <v>lite</v>
      </c>
      <c r="J73" s="2">
        <v>4</v>
      </c>
      <c r="K73" s="2" t="str" cm="1">
        <f t="array" ref="K73">_xlfn.SWITCH(J73, 1, "premium", 2, "mainstream", 3, "gaming", 4, "value")</f>
        <v>value</v>
      </c>
    </row>
    <row r="74" spans="1:11" x14ac:dyDescent="0.15">
      <c r="A74" s="2">
        <v>73</v>
      </c>
      <c r="B74" s="2">
        <v>2</v>
      </c>
      <c r="C74" s="2" t="str">
        <f t="shared" si="2"/>
        <v>female</v>
      </c>
      <c r="D74" s="2">
        <v>1500</v>
      </c>
      <c r="E74" s="2">
        <v>1800</v>
      </c>
      <c r="F74" s="2">
        <v>0</v>
      </c>
      <c r="G74" s="2">
        <v>0</v>
      </c>
      <c r="H74" s="2">
        <v>4</v>
      </c>
      <c r="I74" s="2" t="str">
        <f t="shared" si="3"/>
        <v>lite</v>
      </c>
      <c r="J74" s="2">
        <v>2</v>
      </c>
      <c r="K74" s="2" t="str" cm="1">
        <f t="array" ref="K74">_xlfn.SWITCH(J74, 1, "premium", 2, "mainstream", 3, "gaming", 4, "value")</f>
        <v>mainstream</v>
      </c>
    </row>
    <row r="75" spans="1:11" x14ac:dyDescent="0.15">
      <c r="A75" s="2">
        <v>74</v>
      </c>
      <c r="B75" s="2">
        <v>1</v>
      </c>
      <c r="C75" s="2" t="str">
        <f t="shared" si="2"/>
        <v>male</v>
      </c>
      <c r="D75" s="2">
        <v>1500</v>
      </c>
      <c r="E75" s="2">
        <v>1600</v>
      </c>
      <c r="F75" s="2">
        <v>6500</v>
      </c>
      <c r="G75" s="2">
        <v>15</v>
      </c>
      <c r="H75" s="2">
        <v>1</v>
      </c>
      <c r="I75" s="2" t="str">
        <f t="shared" si="3"/>
        <v>performance</v>
      </c>
      <c r="J75" s="2">
        <v>3</v>
      </c>
      <c r="K75" s="2" t="str" cm="1">
        <f t="array" ref="K75">_xlfn.SWITCH(J75, 1, "premium", 2, "mainstream", 3, "gaming", 4, "value")</f>
        <v>gaming</v>
      </c>
    </row>
    <row r="76" spans="1:11" x14ac:dyDescent="0.15">
      <c r="A76" s="2">
        <v>75</v>
      </c>
      <c r="B76" s="2">
        <v>2</v>
      </c>
      <c r="C76" s="2" t="str">
        <f t="shared" si="2"/>
        <v>female</v>
      </c>
      <c r="D76" s="2">
        <v>2000</v>
      </c>
      <c r="E76" s="2">
        <v>5500</v>
      </c>
      <c r="F76" s="2">
        <v>5000</v>
      </c>
      <c r="G76" s="2">
        <v>18</v>
      </c>
      <c r="H76" s="2">
        <v>4</v>
      </c>
      <c r="I76" s="2" t="str">
        <f t="shared" si="3"/>
        <v>lite</v>
      </c>
      <c r="J76" s="2">
        <v>2</v>
      </c>
      <c r="K76" s="2" t="str" cm="1">
        <f t="array" ref="K76">_xlfn.SWITCH(J76, 1, "premium", 2, "mainstream", 3, "gaming", 4, "value")</f>
        <v>mainstream</v>
      </c>
    </row>
    <row r="77" spans="1:11" x14ac:dyDescent="0.15">
      <c r="A77" s="2">
        <v>76</v>
      </c>
      <c r="B77" s="2">
        <v>2</v>
      </c>
      <c r="C77" s="2" t="str">
        <f t="shared" si="2"/>
        <v>female</v>
      </c>
      <c r="D77" s="2">
        <v>10000</v>
      </c>
      <c r="E77" s="2">
        <v>1700</v>
      </c>
      <c r="F77" s="2">
        <v>4900</v>
      </c>
      <c r="G77" s="2">
        <v>19</v>
      </c>
      <c r="H77" s="2">
        <v>4</v>
      </c>
      <c r="I77" s="2" t="str">
        <f t="shared" si="3"/>
        <v>lite</v>
      </c>
      <c r="J77" s="2">
        <v>4</v>
      </c>
      <c r="K77" s="2" t="str" cm="1">
        <f t="array" ref="K77">_xlfn.SWITCH(J77, 1, "premium", 2, "mainstream", 3, "gaming", 4, "value")</f>
        <v>value</v>
      </c>
    </row>
    <row r="78" spans="1:11" x14ac:dyDescent="0.15">
      <c r="A78" s="2">
        <v>77</v>
      </c>
      <c r="B78" s="2">
        <v>2</v>
      </c>
      <c r="C78" s="2" t="str">
        <f t="shared" si="2"/>
        <v>female</v>
      </c>
      <c r="D78" s="2">
        <v>2700</v>
      </c>
      <c r="E78" s="2">
        <v>5800</v>
      </c>
      <c r="F78" s="2">
        <v>5400</v>
      </c>
      <c r="G78" s="2">
        <v>30</v>
      </c>
      <c r="H78" s="2">
        <v>4</v>
      </c>
      <c r="I78" s="2" t="str">
        <f t="shared" si="3"/>
        <v>lite</v>
      </c>
      <c r="J78" s="2">
        <v>1</v>
      </c>
      <c r="K78" s="2" t="str" cm="1">
        <f t="array" ref="K78">_xlfn.SWITCH(J78, 1, "premium", 2, "mainstream", 3, "gaming", 4, "value")</f>
        <v>premium</v>
      </c>
    </row>
    <row r="79" spans="1:11" x14ac:dyDescent="0.15">
      <c r="A79" s="2">
        <v>78</v>
      </c>
      <c r="B79" s="2">
        <v>2</v>
      </c>
      <c r="C79" s="2" t="str">
        <f t="shared" si="2"/>
        <v>female</v>
      </c>
      <c r="D79" s="2">
        <v>1500</v>
      </c>
      <c r="E79" s="2">
        <v>5000</v>
      </c>
      <c r="F79" s="2">
        <v>5000</v>
      </c>
      <c r="G79" s="2">
        <v>12</v>
      </c>
      <c r="H79" s="2">
        <v>4</v>
      </c>
      <c r="I79" s="2" t="str">
        <f t="shared" si="3"/>
        <v>lite</v>
      </c>
      <c r="J79" s="2">
        <v>2</v>
      </c>
      <c r="K79" s="2" t="str" cm="1">
        <f t="array" ref="K79">_xlfn.SWITCH(J79, 1, "premium", 2, "mainstream", 3, "gaming", 4, "value")</f>
        <v>mainstream</v>
      </c>
    </row>
    <row r="80" spans="1:11" x14ac:dyDescent="0.15">
      <c r="A80" s="2">
        <v>79</v>
      </c>
      <c r="B80" s="2">
        <v>2</v>
      </c>
      <c r="C80" s="2" t="str">
        <f t="shared" si="2"/>
        <v>female</v>
      </c>
      <c r="D80" s="2">
        <v>2500</v>
      </c>
      <c r="E80" s="2">
        <v>6999</v>
      </c>
      <c r="F80" s="2">
        <v>7688</v>
      </c>
      <c r="G80" s="2">
        <v>12</v>
      </c>
      <c r="H80" s="2">
        <v>1</v>
      </c>
      <c r="I80" s="2" t="str">
        <f t="shared" si="3"/>
        <v>performance</v>
      </c>
      <c r="J80" s="2">
        <v>2</v>
      </c>
      <c r="K80" s="2" t="str" cm="1">
        <f t="array" ref="K80">_xlfn.SWITCH(J80, 1, "premium", 2, "mainstream", 3, "gaming", 4, "value")</f>
        <v>mainstream</v>
      </c>
    </row>
    <row r="81" spans="1:11" x14ac:dyDescent="0.15">
      <c r="A81" s="2">
        <v>80</v>
      </c>
      <c r="B81" s="2">
        <v>2</v>
      </c>
      <c r="C81" s="2" t="str">
        <f t="shared" si="2"/>
        <v>female</v>
      </c>
      <c r="D81" s="2">
        <v>1500</v>
      </c>
      <c r="E81" s="2">
        <v>2500</v>
      </c>
      <c r="F81" s="2">
        <v>3800</v>
      </c>
      <c r="G81" s="2">
        <v>12</v>
      </c>
      <c r="H81" s="2">
        <v>4</v>
      </c>
      <c r="I81" s="2" t="str">
        <f t="shared" si="3"/>
        <v>lite</v>
      </c>
      <c r="J81" s="2">
        <v>2</v>
      </c>
      <c r="K81" s="2" t="str" cm="1">
        <f t="array" ref="K81">_xlfn.SWITCH(J81, 1, "premium", 2, "mainstream", 3, "gaming", 4, "value")</f>
        <v>mainstream</v>
      </c>
    </row>
    <row r="82" spans="1:11" x14ac:dyDescent="0.15">
      <c r="A82" s="2">
        <v>81</v>
      </c>
      <c r="B82" s="2">
        <v>2</v>
      </c>
      <c r="C82" s="2" t="str">
        <f t="shared" si="2"/>
        <v>female</v>
      </c>
      <c r="D82" s="2">
        <v>1500</v>
      </c>
      <c r="E82" s="2">
        <v>2000</v>
      </c>
      <c r="F82" s="2">
        <v>2000</v>
      </c>
      <c r="G82" s="2">
        <v>24</v>
      </c>
      <c r="H82" s="2">
        <v>4</v>
      </c>
      <c r="I82" s="2" t="str">
        <f t="shared" si="3"/>
        <v>lite</v>
      </c>
      <c r="J82" s="2">
        <v>4</v>
      </c>
      <c r="K82" s="2" t="str" cm="1">
        <f t="array" ref="K82">_xlfn.SWITCH(J82, 1, "premium", 2, "mainstream", 3, "gaming", 4, "value")</f>
        <v>value</v>
      </c>
    </row>
    <row r="83" spans="1:11" x14ac:dyDescent="0.15">
      <c r="A83" s="2">
        <v>82</v>
      </c>
      <c r="B83" s="2">
        <v>2</v>
      </c>
      <c r="C83" s="2" t="str">
        <f t="shared" si="2"/>
        <v>female</v>
      </c>
      <c r="D83" s="2">
        <v>2700</v>
      </c>
      <c r="E83" s="2">
        <v>6999</v>
      </c>
      <c r="F83" s="2">
        <v>4988</v>
      </c>
      <c r="G83" s="2">
        <v>18</v>
      </c>
      <c r="H83" s="2">
        <v>4</v>
      </c>
      <c r="I83" s="2" t="str">
        <f t="shared" si="3"/>
        <v>lite</v>
      </c>
      <c r="J83" s="2">
        <v>2</v>
      </c>
      <c r="K83" s="2" t="str" cm="1">
        <f t="array" ref="K83">_xlfn.SWITCH(J83, 1, "premium", 2, "mainstream", 3, "gaming", 4, "value")</f>
        <v>mainstream</v>
      </c>
    </row>
    <row r="84" spans="1:11" x14ac:dyDescent="0.15">
      <c r="A84" s="2">
        <v>83</v>
      </c>
      <c r="B84" s="2">
        <v>2</v>
      </c>
      <c r="C84" s="2" t="str">
        <f t="shared" si="2"/>
        <v>female</v>
      </c>
      <c r="D84" s="2">
        <v>2000</v>
      </c>
      <c r="E84" s="2">
        <v>3000</v>
      </c>
      <c r="F84" s="2">
        <v>4000</v>
      </c>
      <c r="G84" s="2">
        <v>18</v>
      </c>
      <c r="H84" s="2">
        <v>4</v>
      </c>
      <c r="I84" s="2" t="str">
        <f t="shared" si="3"/>
        <v>lite</v>
      </c>
      <c r="J84" s="2">
        <v>4</v>
      </c>
      <c r="K84" s="2" t="str" cm="1">
        <f t="array" ref="K84">_xlfn.SWITCH(J84, 1, "premium", 2, "mainstream", 3, "gaming", 4, "value")</f>
        <v>value</v>
      </c>
    </row>
    <row r="85" spans="1:11" x14ac:dyDescent="0.15">
      <c r="A85" s="2">
        <v>84</v>
      </c>
      <c r="B85" s="2">
        <v>2</v>
      </c>
      <c r="C85" s="2" t="str">
        <f t="shared" si="2"/>
        <v>female</v>
      </c>
      <c r="D85" s="2">
        <v>2000</v>
      </c>
      <c r="E85" s="2">
        <v>8900</v>
      </c>
      <c r="F85" s="2">
        <v>5000</v>
      </c>
      <c r="G85" s="2">
        <v>18</v>
      </c>
      <c r="H85" s="2">
        <v>4</v>
      </c>
      <c r="I85" s="2" t="str">
        <f t="shared" si="3"/>
        <v>lite</v>
      </c>
      <c r="J85" s="2">
        <v>2</v>
      </c>
      <c r="K85" s="2" t="str" cm="1">
        <f t="array" ref="K85">_xlfn.SWITCH(J85, 1, "premium", 2, "mainstream", 3, "gaming", 4, "value")</f>
        <v>mainstream</v>
      </c>
    </row>
    <row r="86" spans="1:11" x14ac:dyDescent="0.15">
      <c r="A86" s="2">
        <v>85</v>
      </c>
      <c r="B86" s="2">
        <v>2</v>
      </c>
      <c r="C86" s="2" t="str">
        <f t="shared" si="2"/>
        <v>female</v>
      </c>
      <c r="D86" s="2">
        <v>2400</v>
      </c>
      <c r="E86" s="2">
        <v>4200</v>
      </c>
      <c r="F86" s="2">
        <v>8000</v>
      </c>
      <c r="G86" s="2">
        <v>36</v>
      </c>
      <c r="H86" s="2">
        <v>1</v>
      </c>
      <c r="I86" s="2" t="str">
        <f t="shared" si="3"/>
        <v>performance</v>
      </c>
      <c r="J86" s="2">
        <v>3</v>
      </c>
      <c r="K86" s="2" t="str" cm="1">
        <f t="array" ref="K86">_xlfn.SWITCH(J86, 1, "premium", 2, "mainstream", 3, "gaming", 4, "value")</f>
        <v>gaming</v>
      </c>
    </row>
    <row r="87" spans="1:11" x14ac:dyDescent="0.15">
      <c r="A87" s="2">
        <v>86</v>
      </c>
      <c r="B87" s="2">
        <v>2</v>
      </c>
      <c r="C87" s="2" t="str">
        <f t="shared" si="2"/>
        <v>female</v>
      </c>
      <c r="D87" s="2">
        <v>2300</v>
      </c>
      <c r="E87" s="2">
        <v>1600</v>
      </c>
      <c r="F87" s="2">
        <v>3600</v>
      </c>
      <c r="G87" s="2">
        <v>48</v>
      </c>
      <c r="H87" s="2">
        <v>3</v>
      </c>
      <c r="I87" s="2" t="str">
        <f t="shared" si="3"/>
        <v>performance</v>
      </c>
      <c r="J87" s="2">
        <v>4</v>
      </c>
      <c r="K87" s="2" t="str" cm="1">
        <f t="array" ref="K87">_xlfn.SWITCH(J87, 1, "premium", 2, "mainstream", 3, "gaming", 4, "value")</f>
        <v>value</v>
      </c>
    </row>
    <row r="88" spans="1:11" x14ac:dyDescent="0.15">
      <c r="A88" s="2">
        <v>87</v>
      </c>
      <c r="B88" s="2">
        <v>2</v>
      </c>
      <c r="C88" s="2" t="str">
        <f t="shared" si="2"/>
        <v>female</v>
      </c>
      <c r="D88" s="2">
        <v>1300</v>
      </c>
      <c r="E88" s="2">
        <v>3300</v>
      </c>
      <c r="F88" s="2">
        <v>2300</v>
      </c>
      <c r="G88" s="2">
        <v>6</v>
      </c>
      <c r="H88" s="2">
        <v>2</v>
      </c>
      <c r="I88" s="2" t="str">
        <f t="shared" si="3"/>
        <v>performance</v>
      </c>
      <c r="J88" s="2">
        <v>2</v>
      </c>
      <c r="K88" s="2" t="str" cm="1">
        <f t="array" ref="K88">_xlfn.SWITCH(J88, 1, "premium", 2, "mainstream", 3, "gaming", 4, "value")</f>
        <v>mainstream</v>
      </c>
    </row>
    <row r="89" spans="1:11" x14ac:dyDescent="0.15">
      <c r="A89" s="2">
        <v>88</v>
      </c>
      <c r="B89" s="2">
        <v>2</v>
      </c>
      <c r="C89" s="2" t="str">
        <f t="shared" si="2"/>
        <v>female</v>
      </c>
      <c r="D89" s="2">
        <v>2300</v>
      </c>
      <c r="E89" s="2">
        <v>5100</v>
      </c>
      <c r="F89" s="2">
        <v>3800</v>
      </c>
      <c r="G89" s="2">
        <v>17</v>
      </c>
      <c r="H89" s="2">
        <v>4</v>
      </c>
      <c r="I89" s="2" t="str">
        <f t="shared" si="3"/>
        <v>lite</v>
      </c>
      <c r="J89" s="2">
        <v>2</v>
      </c>
      <c r="K89" s="2" t="str" cm="1">
        <f t="array" ref="K89">_xlfn.SWITCH(J89, 1, "premium", 2, "mainstream", 3, "gaming", 4, "value")</f>
        <v>mainstream</v>
      </c>
    </row>
    <row r="90" spans="1:11" x14ac:dyDescent="0.15">
      <c r="A90" s="2">
        <v>89</v>
      </c>
      <c r="B90" s="2">
        <v>2</v>
      </c>
      <c r="C90" s="2" t="str">
        <f t="shared" si="2"/>
        <v>female</v>
      </c>
      <c r="D90" s="2">
        <v>2000</v>
      </c>
      <c r="E90" s="2">
        <v>2500</v>
      </c>
      <c r="F90" s="2">
        <v>4400</v>
      </c>
      <c r="G90" s="2">
        <v>15</v>
      </c>
      <c r="H90" s="2">
        <v>4</v>
      </c>
      <c r="I90" s="2" t="str">
        <f t="shared" si="3"/>
        <v>lite</v>
      </c>
      <c r="J90" s="2">
        <v>2</v>
      </c>
      <c r="K90" s="2" t="str" cm="1">
        <f t="array" ref="K90">_xlfn.SWITCH(J90, 1, "premium", 2, "mainstream", 3, "gaming", 4, "value")</f>
        <v>mainstream</v>
      </c>
    </row>
    <row r="91" spans="1:11" x14ac:dyDescent="0.15">
      <c r="A91" s="2">
        <v>90</v>
      </c>
      <c r="B91" s="2">
        <v>2</v>
      </c>
      <c r="C91" s="2" t="str">
        <f t="shared" si="2"/>
        <v>female</v>
      </c>
      <c r="D91" s="2">
        <v>2500</v>
      </c>
      <c r="E91" s="2">
        <v>1400</v>
      </c>
      <c r="F91" s="2">
        <v>2900</v>
      </c>
      <c r="G91" s="2">
        <v>24</v>
      </c>
      <c r="H91" s="2">
        <v>4</v>
      </c>
      <c r="I91" s="2" t="str">
        <f t="shared" si="3"/>
        <v>lite</v>
      </c>
      <c r="J91" s="2">
        <v>2</v>
      </c>
      <c r="K91" s="2" t="str" cm="1">
        <f t="array" ref="K91">_xlfn.SWITCH(J91, 1, "premium", 2, "mainstream", 3, "gaming", 4, "value")</f>
        <v>mainstream</v>
      </c>
    </row>
    <row r="92" spans="1:11" x14ac:dyDescent="0.15">
      <c r="A92" s="2">
        <v>91</v>
      </c>
      <c r="B92" s="2">
        <v>2</v>
      </c>
      <c r="C92" s="2" t="str">
        <f t="shared" si="2"/>
        <v>female</v>
      </c>
      <c r="D92" s="2">
        <v>2100</v>
      </c>
      <c r="E92" s="2">
        <v>3000</v>
      </c>
      <c r="F92" s="2">
        <v>5000</v>
      </c>
      <c r="G92" s="2">
        <v>19</v>
      </c>
      <c r="H92" s="2">
        <v>4</v>
      </c>
      <c r="I92" s="2" t="str">
        <f t="shared" si="3"/>
        <v>lite</v>
      </c>
      <c r="J92" s="2">
        <v>2</v>
      </c>
      <c r="K92" s="2" t="str" cm="1">
        <f t="array" ref="K92">_xlfn.SWITCH(J92, 1, "premium", 2, "mainstream", 3, "gaming", 4, "value")</f>
        <v>mainstream</v>
      </c>
    </row>
    <row r="93" spans="1:11" x14ac:dyDescent="0.15">
      <c r="A93" s="2">
        <v>92</v>
      </c>
      <c r="B93" s="2">
        <v>2</v>
      </c>
      <c r="C93" s="2" t="str">
        <f t="shared" si="2"/>
        <v>female</v>
      </c>
      <c r="D93" s="2">
        <v>1800</v>
      </c>
      <c r="E93" s="2">
        <v>6100</v>
      </c>
      <c r="F93" s="2">
        <v>3000</v>
      </c>
      <c r="G93" s="2">
        <v>48</v>
      </c>
      <c r="H93" s="2">
        <v>4</v>
      </c>
      <c r="I93" s="2" t="str">
        <f t="shared" si="3"/>
        <v>lite</v>
      </c>
      <c r="J93" s="2">
        <v>2</v>
      </c>
      <c r="K93" s="2" t="str" cm="1">
        <f t="array" ref="K93">_xlfn.SWITCH(J93, 1, "premium", 2, "mainstream", 3, "gaming", 4, "value")</f>
        <v>mainstream</v>
      </c>
    </row>
    <row r="94" spans="1:11" x14ac:dyDescent="0.15">
      <c r="A94" s="2">
        <v>93</v>
      </c>
      <c r="B94" s="2">
        <v>2</v>
      </c>
      <c r="C94" s="2" t="str">
        <f t="shared" si="2"/>
        <v>female</v>
      </c>
      <c r="D94" s="2">
        <v>1500</v>
      </c>
      <c r="E94" s="2">
        <v>1500</v>
      </c>
      <c r="F94" s="2">
        <v>2300</v>
      </c>
      <c r="G94" s="2">
        <v>20</v>
      </c>
      <c r="H94" s="2">
        <v>4</v>
      </c>
      <c r="I94" s="2" t="str">
        <f t="shared" si="3"/>
        <v>lite</v>
      </c>
      <c r="J94" s="2">
        <v>4</v>
      </c>
      <c r="K94" s="2" t="str" cm="1">
        <f t="array" ref="K94">_xlfn.SWITCH(J94, 1, "premium", 2, "mainstream", 3, "gaming", 4, "value")</f>
        <v>value</v>
      </c>
    </row>
    <row r="95" spans="1:11" x14ac:dyDescent="0.15">
      <c r="A95" s="2">
        <v>94</v>
      </c>
      <c r="B95" s="2">
        <v>2</v>
      </c>
      <c r="C95" s="2" t="str">
        <f t="shared" si="2"/>
        <v>female</v>
      </c>
      <c r="D95" s="2">
        <v>1500</v>
      </c>
      <c r="E95" s="2">
        <v>9000</v>
      </c>
      <c r="F95" s="2">
        <v>5000</v>
      </c>
      <c r="G95" s="2">
        <v>9</v>
      </c>
      <c r="H95" s="2">
        <v>3</v>
      </c>
      <c r="I95" s="2" t="str">
        <f t="shared" si="3"/>
        <v>performance</v>
      </c>
      <c r="J95" s="2">
        <v>4</v>
      </c>
      <c r="K95" s="2" t="str" cm="1">
        <f t="array" ref="K95">_xlfn.SWITCH(J95, 1, "premium", 2, "mainstream", 3, "gaming", 4, "value")</f>
        <v>value</v>
      </c>
    </row>
    <row r="96" spans="1:11" x14ac:dyDescent="0.15">
      <c r="A96" s="2">
        <v>95</v>
      </c>
      <c r="B96" s="2">
        <v>2</v>
      </c>
      <c r="C96" s="2" t="str">
        <f t="shared" si="2"/>
        <v>female</v>
      </c>
      <c r="D96" s="2">
        <v>1700</v>
      </c>
      <c r="E96" s="2">
        <v>2900</v>
      </c>
      <c r="F96" s="2">
        <v>3700</v>
      </c>
      <c r="G96" s="2">
        <v>6</v>
      </c>
      <c r="H96" s="2">
        <v>4</v>
      </c>
      <c r="I96" s="2" t="str">
        <f t="shared" si="3"/>
        <v>lite</v>
      </c>
      <c r="J96" s="2">
        <v>2</v>
      </c>
      <c r="K96" s="2" t="str" cm="1">
        <f t="array" ref="K96">_xlfn.SWITCH(J96, 1, "premium", 2, "mainstream", 3, "gaming", 4, "value")</f>
        <v>mainstream</v>
      </c>
    </row>
    <row r="97" spans="1:11" x14ac:dyDescent="0.15">
      <c r="A97" s="2">
        <v>96</v>
      </c>
      <c r="B97" s="2">
        <v>2</v>
      </c>
      <c r="C97" s="2" t="str">
        <f t="shared" si="2"/>
        <v>female</v>
      </c>
      <c r="D97" s="2">
        <v>18800</v>
      </c>
      <c r="E97" s="2">
        <v>4900</v>
      </c>
      <c r="F97" s="2">
        <v>6500</v>
      </c>
      <c r="G97" s="2">
        <v>24</v>
      </c>
      <c r="H97" s="2">
        <v>4</v>
      </c>
      <c r="I97" s="2" t="str">
        <f t="shared" si="3"/>
        <v>lite</v>
      </c>
      <c r="J97" s="2">
        <v>2</v>
      </c>
      <c r="K97" s="2" t="str" cm="1">
        <f t="array" ref="K97">_xlfn.SWITCH(J97, 1, "premium", 2, "mainstream", 3, "gaming", 4, "value")</f>
        <v>mainstream</v>
      </c>
    </row>
    <row r="98" spans="1:11" x14ac:dyDescent="0.15">
      <c r="A98" s="2">
        <v>97</v>
      </c>
      <c r="B98" s="2">
        <v>2</v>
      </c>
      <c r="C98" s="2" t="str">
        <f t="shared" si="2"/>
        <v>female</v>
      </c>
      <c r="D98" s="2">
        <v>2000</v>
      </c>
      <c r="E98" s="2">
        <v>3300</v>
      </c>
      <c r="F98" s="2">
        <v>5500</v>
      </c>
      <c r="G98" s="2">
        <v>24</v>
      </c>
      <c r="H98" s="2">
        <v>1</v>
      </c>
      <c r="I98" s="2" t="str">
        <f t="shared" si="3"/>
        <v>performance</v>
      </c>
      <c r="J98" s="2">
        <v>2</v>
      </c>
      <c r="K98" s="2" t="str" cm="1">
        <f t="array" ref="K98">_xlfn.SWITCH(J98, 1, "premium", 2, "mainstream", 3, "gaming", 4, "value")</f>
        <v>mainstream</v>
      </c>
    </row>
    <row r="99" spans="1:11" x14ac:dyDescent="0.15">
      <c r="A99" s="2">
        <v>98</v>
      </c>
      <c r="B99" s="2">
        <v>2</v>
      </c>
      <c r="C99" s="2" t="str">
        <f t="shared" si="2"/>
        <v>female</v>
      </c>
      <c r="D99" s="2">
        <v>1500</v>
      </c>
      <c r="E99" s="2">
        <v>12999</v>
      </c>
      <c r="F99" s="2">
        <v>3000</v>
      </c>
      <c r="G99" s="2">
        <v>18</v>
      </c>
      <c r="H99" s="2">
        <v>3</v>
      </c>
      <c r="I99" s="2" t="str">
        <f t="shared" si="3"/>
        <v>performance</v>
      </c>
      <c r="J99" s="2">
        <v>2</v>
      </c>
      <c r="K99" s="2" t="str" cm="1">
        <f t="array" ref="K99">_xlfn.SWITCH(J99, 1, "premium", 2, "mainstream", 3, "gaming", 4, "value")</f>
        <v>mainstream</v>
      </c>
    </row>
    <row r="100" spans="1:11" x14ac:dyDescent="0.15">
      <c r="A100" s="2">
        <v>99</v>
      </c>
      <c r="B100" s="2">
        <v>2</v>
      </c>
      <c r="C100" s="2" t="str">
        <f t="shared" si="2"/>
        <v>female</v>
      </c>
      <c r="D100" s="2">
        <v>1000</v>
      </c>
      <c r="E100" s="2">
        <v>2600</v>
      </c>
      <c r="F100" s="2">
        <v>4299</v>
      </c>
      <c r="G100" s="2">
        <v>5</v>
      </c>
      <c r="H100" s="2">
        <v>4</v>
      </c>
      <c r="I100" s="2" t="str">
        <f t="shared" si="3"/>
        <v>lite</v>
      </c>
      <c r="J100" s="2">
        <v>2</v>
      </c>
      <c r="K100" s="2" t="str" cm="1">
        <f t="array" ref="K100">_xlfn.SWITCH(J100, 1, "premium", 2, "mainstream", 3, "gaming", 4, "value")</f>
        <v>mainstream</v>
      </c>
    </row>
    <row r="101" spans="1:11" x14ac:dyDescent="0.15">
      <c r="A101" s="2">
        <v>100</v>
      </c>
      <c r="B101" s="2">
        <v>2</v>
      </c>
      <c r="C101" s="2" t="str">
        <f t="shared" si="2"/>
        <v>female</v>
      </c>
      <c r="D101" s="2">
        <v>1500</v>
      </c>
      <c r="E101" s="2">
        <v>2700</v>
      </c>
      <c r="F101" s="2">
        <v>3200</v>
      </c>
      <c r="G101" s="2">
        <v>18</v>
      </c>
      <c r="H101" s="2">
        <v>4</v>
      </c>
      <c r="I101" s="2" t="str">
        <f t="shared" si="3"/>
        <v>lite</v>
      </c>
      <c r="J101" s="2">
        <v>2</v>
      </c>
      <c r="K101" s="2" t="str" cm="1">
        <f t="array" ref="K101">_xlfn.SWITCH(J101, 1, "premium", 2, "mainstream", 3, "gaming", 4, "value")</f>
        <v>mainstream</v>
      </c>
    </row>
    <row r="102" spans="1:11" x14ac:dyDescent="0.15">
      <c r="A102" s="2">
        <v>101</v>
      </c>
      <c r="B102" s="2">
        <v>2</v>
      </c>
      <c r="C102" s="2" t="str">
        <f t="shared" si="2"/>
        <v>female</v>
      </c>
      <c r="D102" s="2">
        <v>1600</v>
      </c>
      <c r="E102" s="2">
        <v>6000</v>
      </c>
      <c r="F102" s="2">
        <v>7000</v>
      </c>
      <c r="G102" s="2">
        <v>20</v>
      </c>
      <c r="H102" s="2">
        <v>4</v>
      </c>
      <c r="I102" s="2" t="str">
        <f t="shared" si="3"/>
        <v>lite</v>
      </c>
      <c r="J102" s="2">
        <v>2</v>
      </c>
      <c r="K102" s="2" t="str" cm="1">
        <f t="array" ref="K102">_xlfn.SWITCH(J102, 1, "premium", 2, "mainstream", 3, "gaming", 4, "value")</f>
        <v>mainstream</v>
      </c>
    </row>
    <row r="103" spans="1:11" x14ac:dyDescent="0.15">
      <c r="A103" s="2">
        <v>102</v>
      </c>
      <c r="B103" s="2">
        <v>1</v>
      </c>
      <c r="C103" s="2" t="str">
        <f t="shared" si="2"/>
        <v>male</v>
      </c>
      <c r="D103" s="2">
        <v>2200</v>
      </c>
      <c r="E103" s="2">
        <v>4000</v>
      </c>
      <c r="F103" s="2">
        <v>8000</v>
      </c>
      <c r="G103" s="2">
        <v>6</v>
      </c>
      <c r="H103" s="2">
        <v>4</v>
      </c>
      <c r="I103" s="2" t="str">
        <f t="shared" si="3"/>
        <v>lite</v>
      </c>
      <c r="J103" s="2">
        <v>2</v>
      </c>
      <c r="K103" s="2" t="str" cm="1">
        <f t="array" ref="K103">_xlfn.SWITCH(J103, 1, "premium", 2, "mainstream", 3, "gaming", 4, "value")</f>
        <v>mainstream</v>
      </c>
    </row>
    <row r="104" spans="1:11" x14ac:dyDescent="0.15">
      <c r="A104" s="2">
        <v>103</v>
      </c>
      <c r="B104" s="2">
        <v>1</v>
      </c>
      <c r="C104" s="2" t="str">
        <f t="shared" si="2"/>
        <v>male</v>
      </c>
      <c r="D104" s="2">
        <v>1511</v>
      </c>
      <c r="E104" s="2">
        <v>6115</v>
      </c>
      <c r="F104" s="2">
        <v>6715</v>
      </c>
      <c r="G104" s="2">
        <v>18</v>
      </c>
      <c r="H104" s="2">
        <v>1</v>
      </c>
      <c r="I104" s="2" t="str">
        <f t="shared" si="3"/>
        <v>performance</v>
      </c>
      <c r="J104" s="2">
        <v>1</v>
      </c>
      <c r="K104" s="2" t="str" cm="1">
        <f t="array" ref="K104">_xlfn.SWITCH(J104, 1, "premium", 2, "mainstream", 3, "gaming", 4, "value")</f>
        <v>premium</v>
      </c>
    </row>
    <row r="105" spans="1:11" x14ac:dyDescent="0.15">
      <c r="A105" s="2">
        <v>104</v>
      </c>
      <c r="B105" s="2">
        <v>1</v>
      </c>
      <c r="C105" s="2" t="str">
        <f t="shared" si="2"/>
        <v>male</v>
      </c>
      <c r="D105" s="2">
        <v>1500</v>
      </c>
      <c r="E105" s="2">
        <v>1614</v>
      </c>
      <c r="F105" s="2">
        <v>2599</v>
      </c>
      <c r="G105" s="2">
        <v>13</v>
      </c>
      <c r="H105" s="2">
        <v>4</v>
      </c>
      <c r="I105" s="2" t="str">
        <f t="shared" si="3"/>
        <v>lite</v>
      </c>
      <c r="J105" s="2">
        <v>4</v>
      </c>
      <c r="K105" s="2" t="str" cm="1">
        <f t="array" ref="K105">_xlfn.SWITCH(J105, 1, "premium", 2, "mainstream", 3, "gaming", 4, "value")</f>
        <v>value</v>
      </c>
    </row>
    <row r="106" spans="1:11" x14ac:dyDescent="0.15">
      <c r="A106" s="2">
        <v>105</v>
      </c>
      <c r="B106" s="2">
        <v>2</v>
      </c>
      <c r="C106" s="2" t="str">
        <f t="shared" si="2"/>
        <v>female</v>
      </c>
      <c r="D106" s="2">
        <v>2500</v>
      </c>
      <c r="E106" s="2">
        <v>7799</v>
      </c>
      <c r="F106" s="2">
        <v>8599</v>
      </c>
      <c r="G106" s="2">
        <v>8</v>
      </c>
      <c r="H106" s="2">
        <v>3</v>
      </c>
      <c r="I106" s="2" t="str">
        <f t="shared" si="3"/>
        <v>performance</v>
      </c>
      <c r="J106" s="2">
        <v>1</v>
      </c>
      <c r="K106" s="2" t="str" cm="1">
        <f t="array" ref="K106">_xlfn.SWITCH(J106, 1, "premium", 2, "mainstream", 3, "gaming", 4, "value")</f>
        <v>premium</v>
      </c>
    </row>
    <row r="107" spans="1:11" x14ac:dyDescent="0.15">
      <c r="A107" s="2">
        <v>106</v>
      </c>
      <c r="B107" s="2">
        <v>2</v>
      </c>
      <c r="C107" s="2" t="str">
        <f t="shared" si="2"/>
        <v>female</v>
      </c>
      <c r="D107" s="2">
        <v>2500</v>
      </c>
      <c r="E107" s="2">
        <v>8100</v>
      </c>
      <c r="F107" s="2">
        <v>7200</v>
      </c>
      <c r="G107" s="2">
        <v>6</v>
      </c>
      <c r="H107" s="2">
        <v>4</v>
      </c>
      <c r="I107" s="2" t="str">
        <f t="shared" si="3"/>
        <v>lite</v>
      </c>
      <c r="J107" s="2">
        <v>2</v>
      </c>
      <c r="K107" s="2" t="str" cm="1">
        <f t="array" ref="K107">_xlfn.SWITCH(J107, 1, "premium", 2, "mainstream", 3, "gaming", 4, "value")</f>
        <v>mainstream</v>
      </c>
    </row>
    <row r="108" spans="1:11" x14ac:dyDescent="0.15">
      <c r="A108" s="2">
        <v>107</v>
      </c>
      <c r="B108" s="2">
        <v>1</v>
      </c>
      <c r="C108" s="2" t="str">
        <f t="shared" si="2"/>
        <v>male</v>
      </c>
      <c r="D108" s="2">
        <v>2200</v>
      </c>
      <c r="E108" s="2">
        <v>5800</v>
      </c>
      <c r="F108" s="2">
        <v>6000</v>
      </c>
      <c r="G108" s="2">
        <v>18</v>
      </c>
      <c r="H108" s="2">
        <v>4</v>
      </c>
      <c r="I108" s="2" t="str">
        <f t="shared" si="3"/>
        <v>lite</v>
      </c>
      <c r="J108" s="2">
        <v>4</v>
      </c>
      <c r="K108" s="2" t="str" cm="1">
        <f t="array" ref="K108">_xlfn.SWITCH(J108, 1, "premium", 2, "mainstream", 3, "gaming", 4, "value")</f>
        <v>value</v>
      </c>
    </row>
    <row r="109" spans="1:11" x14ac:dyDescent="0.15">
      <c r="A109" s="2">
        <v>108</v>
      </c>
      <c r="B109" s="2">
        <v>1</v>
      </c>
      <c r="C109" s="2" t="str">
        <f t="shared" si="2"/>
        <v>male</v>
      </c>
      <c r="D109" s="2">
        <v>3000</v>
      </c>
      <c r="E109" s="2">
        <v>6000</v>
      </c>
      <c r="F109" s="2">
        <v>8000</v>
      </c>
      <c r="G109" s="2">
        <v>9</v>
      </c>
      <c r="H109" s="2">
        <v>1</v>
      </c>
      <c r="I109" s="2" t="str">
        <f t="shared" si="3"/>
        <v>performance</v>
      </c>
      <c r="J109" s="2">
        <v>3</v>
      </c>
      <c r="K109" s="2" t="str" cm="1">
        <f t="array" ref="K109">_xlfn.SWITCH(J109, 1, "premium", 2, "mainstream", 3, "gaming", 4, "value")</f>
        <v>gaming</v>
      </c>
    </row>
    <row r="110" spans="1:11" x14ac:dyDescent="0.15">
      <c r="A110" s="2">
        <v>109</v>
      </c>
      <c r="B110" s="2">
        <v>2</v>
      </c>
      <c r="C110" s="2" t="str">
        <f t="shared" si="2"/>
        <v>female</v>
      </c>
      <c r="D110" s="2">
        <v>3000</v>
      </c>
      <c r="E110" s="2">
        <v>5000</v>
      </c>
      <c r="F110" s="2">
        <v>7000</v>
      </c>
      <c r="G110" s="2">
        <v>6</v>
      </c>
      <c r="H110" s="2">
        <v>4</v>
      </c>
      <c r="I110" s="2" t="str">
        <f t="shared" si="3"/>
        <v>lite</v>
      </c>
      <c r="J110" s="2">
        <v>1</v>
      </c>
      <c r="K110" s="2" t="str" cm="1">
        <f t="array" ref="K110">_xlfn.SWITCH(J110, 1, "premium", 2, "mainstream", 3, "gaming", 4, "value")</f>
        <v>premium</v>
      </c>
    </row>
    <row r="111" spans="1:11" x14ac:dyDescent="0.15">
      <c r="A111" s="2">
        <v>110</v>
      </c>
      <c r="B111" s="2">
        <v>2</v>
      </c>
      <c r="C111" s="2" t="str">
        <f t="shared" si="2"/>
        <v>female</v>
      </c>
      <c r="D111" s="2">
        <v>2000</v>
      </c>
      <c r="E111" s="2">
        <v>8600</v>
      </c>
      <c r="F111" s="2">
        <v>5000</v>
      </c>
      <c r="G111" s="2">
        <v>13</v>
      </c>
      <c r="H111" s="2">
        <v>4</v>
      </c>
      <c r="I111" s="2" t="str">
        <f t="shared" si="3"/>
        <v>lite</v>
      </c>
      <c r="J111" s="2">
        <v>2</v>
      </c>
      <c r="K111" s="2" t="str" cm="1">
        <f t="array" ref="K111">_xlfn.SWITCH(J111, 1, "premium", 2, "mainstream", 3, "gaming", 4, "value")</f>
        <v>mainstream</v>
      </c>
    </row>
    <row r="112" spans="1:11" x14ac:dyDescent="0.15">
      <c r="A112" s="2">
        <v>111</v>
      </c>
      <c r="B112" s="2">
        <v>2</v>
      </c>
      <c r="C112" s="2" t="str">
        <f t="shared" si="2"/>
        <v>female</v>
      </c>
      <c r="D112" s="2">
        <v>3500</v>
      </c>
      <c r="E112" s="2">
        <v>12000</v>
      </c>
      <c r="F112" s="2">
        <v>32000</v>
      </c>
      <c r="G112" s="2">
        <v>6</v>
      </c>
      <c r="H112" s="2">
        <v>4</v>
      </c>
      <c r="I112" s="2" t="str">
        <f t="shared" si="3"/>
        <v>lite</v>
      </c>
      <c r="J112" s="2">
        <v>1</v>
      </c>
      <c r="K112" s="2" t="str" cm="1">
        <f t="array" ref="K112">_xlfn.SWITCH(J112, 1, "premium", 2, "mainstream", 3, "gaming", 4, "value")</f>
        <v>premium</v>
      </c>
    </row>
    <row r="113" spans="1:11" x14ac:dyDescent="0.15">
      <c r="A113" s="2">
        <v>112</v>
      </c>
      <c r="B113" s="2">
        <v>2</v>
      </c>
      <c r="C113" s="2" t="str">
        <f t="shared" si="2"/>
        <v>female</v>
      </c>
      <c r="D113" s="2">
        <v>1900</v>
      </c>
      <c r="E113" s="2">
        <v>9999</v>
      </c>
      <c r="F113" s="2">
        <v>11999</v>
      </c>
      <c r="G113" s="2">
        <v>4</v>
      </c>
      <c r="H113" s="2">
        <v>1</v>
      </c>
      <c r="I113" s="2" t="str">
        <f t="shared" si="3"/>
        <v>performance</v>
      </c>
      <c r="J113" s="2">
        <v>2</v>
      </c>
      <c r="K113" s="2" t="str" cm="1">
        <f t="array" ref="K113">_xlfn.SWITCH(J113, 1, "premium", 2, "mainstream", 3, "gaming", 4, "value")</f>
        <v>mainstream</v>
      </c>
    </row>
    <row r="114" spans="1:11" x14ac:dyDescent="0.15">
      <c r="A114" s="2">
        <v>113</v>
      </c>
      <c r="B114" s="2">
        <v>2</v>
      </c>
      <c r="C114" s="2" t="str">
        <f t="shared" si="2"/>
        <v>female</v>
      </c>
      <c r="D114" s="2">
        <v>4000</v>
      </c>
      <c r="E114" s="2">
        <v>8699</v>
      </c>
      <c r="F114" s="2">
        <v>4500</v>
      </c>
      <c r="G114" s="2">
        <v>42</v>
      </c>
      <c r="H114" s="2">
        <v>4</v>
      </c>
      <c r="I114" s="2" t="str">
        <f t="shared" si="3"/>
        <v>lite</v>
      </c>
      <c r="J114" s="2">
        <v>1</v>
      </c>
      <c r="K114" s="2" t="str" cm="1">
        <f t="array" ref="K114">_xlfn.SWITCH(J114, 1, "premium", 2, "mainstream", 3, "gaming", 4, "value")</f>
        <v>premium</v>
      </c>
    </row>
    <row r="115" spans="1:11" x14ac:dyDescent="0.15">
      <c r="A115" s="2">
        <v>114</v>
      </c>
      <c r="B115" s="2">
        <v>2</v>
      </c>
      <c r="C115" s="2" t="str">
        <f t="shared" si="2"/>
        <v>female</v>
      </c>
      <c r="D115" s="2">
        <v>30000</v>
      </c>
      <c r="E115" s="2">
        <v>9000</v>
      </c>
      <c r="F115" s="2">
        <v>10000</v>
      </c>
      <c r="G115" s="2">
        <v>6</v>
      </c>
      <c r="H115" s="2">
        <v>4</v>
      </c>
      <c r="I115" s="2" t="str">
        <f t="shared" si="3"/>
        <v>lite</v>
      </c>
      <c r="J115" s="2">
        <v>1</v>
      </c>
      <c r="K115" s="2" t="str" cm="1">
        <f t="array" ref="K115">_xlfn.SWITCH(J115, 1, "premium", 2, "mainstream", 3, "gaming", 4, "value")</f>
        <v>premium</v>
      </c>
    </row>
    <row r="116" spans="1:11" x14ac:dyDescent="0.15">
      <c r="A116" s="2">
        <v>115</v>
      </c>
      <c r="B116" s="2">
        <v>2</v>
      </c>
      <c r="C116" s="2" t="str">
        <f t="shared" si="2"/>
        <v>female</v>
      </c>
      <c r="D116" s="2">
        <v>5000</v>
      </c>
      <c r="E116" s="2">
        <v>10000</v>
      </c>
      <c r="F116" s="2">
        <v>8000</v>
      </c>
      <c r="G116" s="2">
        <v>36</v>
      </c>
      <c r="H116" s="2">
        <v>4</v>
      </c>
      <c r="I116" s="2" t="str">
        <f t="shared" si="3"/>
        <v>lite</v>
      </c>
      <c r="J116" s="2">
        <v>1</v>
      </c>
      <c r="K116" s="2" t="str" cm="1">
        <f t="array" ref="K116">_xlfn.SWITCH(J116, 1, "premium", 2, "mainstream", 3, "gaming", 4, "value")</f>
        <v>premium</v>
      </c>
    </row>
    <row r="117" spans="1:11" x14ac:dyDescent="0.15">
      <c r="A117" s="2">
        <v>116</v>
      </c>
      <c r="B117" s="2">
        <v>2</v>
      </c>
      <c r="C117" s="2" t="str">
        <f t="shared" si="2"/>
        <v>female</v>
      </c>
      <c r="D117" s="2">
        <v>2500</v>
      </c>
      <c r="E117" s="2">
        <v>5500</v>
      </c>
      <c r="F117" s="2">
        <v>4500</v>
      </c>
      <c r="G117" s="2">
        <v>4</v>
      </c>
      <c r="H117" s="2">
        <v>4</v>
      </c>
      <c r="I117" s="2" t="str">
        <f t="shared" si="3"/>
        <v>lite</v>
      </c>
      <c r="J117" s="2">
        <v>2</v>
      </c>
      <c r="K117" s="2" t="str" cm="1">
        <f t="array" ref="K117">_xlfn.SWITCH(J117, 1, "premium", 2, "mainstream", 3, "gaming", 4, "value")</f>
        <v>mainstream</v>
      </c>
    </row>
    <row r="118" spans="1:11" x14ac:dyDescent="0.15">
      <c r="A118" s="2">
        <v>117</v>
      </c>
      <c r="B118" s="2">
        <v>2</v>
      </c>
      <c r="C118" s="2" t="str">
        <f t="shared" si="2"/>
        <v>female</v>
      </c>
      <c r="D118" s="2">
        <v>2500</v>
      </c>
      <c r="E118" s="2">
        <v>9299</v>
      </c>
      <c r="F118" s="2">
        <v>6255</v>
      </c>
      <c r="G118" s="2">
        <v>12</v>
      </c>
      <c r="H118" s="2">
        <v>4</v>
      </c>
      <c r="I118" s="2" t="str">
        <f t="shared" si="3"/>
        <v>lite</v>
      </c>
      <c r="J118" s="2">
        <v>2</v>
      </c>
      <c r="K118" s="2" t="str" cm="1">
        <f t="array" ref="K118">_xlfn.SWITCH(J118, 1, "premium", 2, "mainstream", 3, "gaming", 4, "value")</f>
        <v>mainstream</v>
      </c>
    </row>
    <row r="119" spans="1:11" x14ac:dyDescent="0.15">
      <c r="A119" s="2">
        <v>118</v>
      </c>
      <c r="B119" s="2">
        <v>2</v>
      </c>
      <c r="C119" s="2" t="str">
        <f t="shared" si="2"/>
        <v>female</v>
      </c>
      <c r="D119" s="2">
        <v>2500</v>
      </c>
      <c r="E119" s="2">
        <v>7600</v>
      </c>
      <c r="F119" s="2">
        <v>8500</v>
      </c>
      <c r="G119" s="2">
        <v>6</v>
      </c>
      <c r="H119" s="2">
        <v>2</v>
      </c>
      <c r="I119" s="2" t="str">
        <f t="shared" si="3"/>
        <v>performance</v>
      </c>
      <c r="J119" s="2">
        <v>1</v>
      </c>
      <c r="K119" s="2" t="str" cm="1">
        <f t="array" ref="K119">_xlfn.SWITCH(J119, 1, "premium", 2, "mainstream", 3, "gaming", 4, "value")</f>
        <v>premium</v>
      </c>
    </row>
    <row r="120" spans="1:11" x14ac:dyDescent="0.15">
      <c r="A120" s="2">
        <v>119</v>
      </c>
      <c r="B120" s="2">
        <v>2</v>
      </c>
      <c r="C120" s="2" t="str">
        <f t="shared" si="2"/>
        <v>female</v>
      </c>
      <c r="D120" s="2">
        <v>5500</v>
      </c>
      <c r="E120" s="2">
        <v>13999</v>
      </c>
      <c r="F120" s="2">
        <v>10000</v>
      </c>
      <c r="G120" s="2">
        <v>6</v>
      </c>
      <c r="H120" s="2">
        <v>4</v>
      </c>
      <c r="I120" s="2" t="str">
        <f t="shared" si="3"/>
        <v>lite</v>
      </c>
      <c r="J120" s="2">
        <v>1</v>
      </c>
      <c r="K120" s="2" t="str" cm="1">
        <f t="array" ref="K120">_xlfn.SWITCH(J120, 1, "premium", 2, "mainstream", 3, "gaming", 4, "value")</f>
        <v>premium</v>
      </c>
    </row>
    <row r="121" spans="1:11" x14ac:dyDescent="0.15">
      <c r="A121" s="2">
        <v>120</v>
      </c>
      <c r="B121" s="2">
        <v>2</v>
      </c>
      <c r="C121" s="2" t="str">
        <f t="shared" si="2"/>
        <v>female</v>
      </c>
      <c r="D121" s="2">
        <v>3500</v>
      </c>
      <c r="E121" s="2">
        <v>8000</v>
      </c>
      <c r="F121" s="2">
        <v>6000</v>
      </c>
      <c r="G121" s="2">
        <v>9</v>
      </c>
      <c r="H121" s="2">
        <v>4</v>
      </c>
      <c r="I121" s="2" t="str">
        <f t="shared" si="3"/>
        <v>lite</v>
      </c>
      <c r="J121" s="2">
        <v>1</v>
      </c>
      <c r="K121" s="2" t="str" cm="1">
        <f t="array" ref="K121">_xlfn.SWITCH(J121, 1, "premium", 2, "mainstream", 3, "gaming", 4, "value")</f>
        <v>premium</v>
      </c>
    </row>
    <row r="122" spans="1:11" x14ac:dyDescent="0.15">
      <c r="A122" s="2">
        <v>121</v>
      </c>
      <c r="B122" s="2">
        <v>1</v>
      </c>
      <c r="C122" s="2" t="str">
        <f t="shared" si="2"/>
        <v>male</v>
      </c>
      <c r="D122" s="2">
        <v>3000</v>
      </c>
      <c r="E122" s="2">
        <v>8999</v>
      </c>
      <c r="F122" s="2">
        <v>9599</v>
      </c>
      <c r="G122" s="2">
        <v>8</v>
      </c>
      <c r="H122" s="2">
        <v>1</v>
      </c>
      <c r="I122" s="2" t="str">
        <f t="shared" si="3"/>
        <v>performance</v>
      </c>
      <c r="J122" s="2">
        <v>2</v>
      </c>
      <c r="K122" s="2" t="str" cm="1">
        <f t="array" ref="K122">_xlfn.SWITCH(J122, 1, "premium", 2, "mainstream", 3, "gaming", 4, "value")</f>
        <v>mainstream</v>
      </c>
    </row>
    <row r="123" spans="1:11" x14ac:dyDescent="0.15">
      <c r="A123" s="2">
        <v>122</v>
      </c>
      <c r="B123" s="2">
        <v>2</v>
      </c>
      <c r="C123" s="2" t="str">
        <f t="shared" si="2"/>
        <v>female</v>
      </c>
      <c r="D123" s="2">
        <v>3000</v>
      </c>
      <c r="E123" s="2">
        <v>12000</v>
      </c>
      <c r="F123" s="2">
        <v>6399</v>
      </c>
      <c r="G123" s="2">
        <v>8</v>
      </c>
      <c r="H123" s="2">
        <v>4</v>
      </c>
      <c r="I123" s="2" t="str">
        <f t="shared" si="3"/>
        <v>lite</v>
      </c>
      <c r="J123" s="2">
        <v>2</v>
      </c>
      <c r="K123" s="2" t="str" cm="1">
        <f t="array" ref="K123">_xlfn.SWITCH(J123, 1, "premium", 2, "mainstream", 3, "gaming", 4, "value")</f>
        <v>mainstream</v>
      </c>
    </row>
    <row r="124" spans="1:11" x14ac:dyDescent="0.15">
      <c r="A124" s="2">
        <v>123</v>
      </c>
      <c r="B124" s="2">
        <v>2</v>
      </c>
      <c r="C124" s="2" t="str">
        <f t="shared" si="2"/>
        <v>female</v>
      </c>
      <c r="D124" s="2">
        <v>2500</v>
      </c>
      <c r="E124" s="2">
        <v>1500</v>
      </c>
      <c r="F124" s="2">
        <v>7699</v>
      </c>
      <c r="G124" s="2">
        <v>6</v>
      </c>
      <c r="H124" s="2">
        <v>4</v>
      </c>
      <c r="I124" s="2" t="str">
        <f t="shared" si="3"/>
        <v>lite</v>
      </c>
      <c r="J124" s="2">
        <v>2</v>
      </c>
      <c r="K124" s="2" t="str" cm="1">
        <f t="array" ref="K124">_xlfn.SWITCH(J124, 1, "premium", 2, "mainstream", 3, "gaming", 4, "value")</f>
        <v>mainstream</v>
      </c>
    </row>
    <row r="125" spans="1:11" x14ac:dyDescent="0.15">
      <c r="A125" s="2">
        <v>124</v>
      </c>
      <c r="B125" s="2">
        <v>1</v>
      </c>
      <c r="C125" s="2" t="str">
        <f t="shared" si="2"/>
        <v>male</v>
      </c>
      <c r="D125" s="2">
        <v>3000</v>
      </c>
      <c r="E125" s="2">
        <v>4000</v>
      </c>
      <c r="F125" s="2">
        <v>9000</v>
      </c>
      <c r="G125" s="2">
        <v>6</v>
      </c>
      <c r="H125" s="2">
        <v>1</v>
      </c>
      <c r="I125" s="2" t="str">
        <f t="shared" si="3"/>
        <v>performance</v>
      </c>
      <c r="J125" s="2">
        <v>3</v>
      </c>
      <c r="K125" s="2" t="str" cm="1">
        <f t="array" ref="K125">_xlfn.SWITCH(J125, 1, "premium", 2, "mainstream", 3, "gaming", 4, "value")</f>
        <v>gaming</v>
      </c>
    </row>
    <row r="126" spans="1:11" x14ac:dyDescent="0.15">
      <c r="A126" s="2">
        <v>125</v>
      </c>
      <c r="B126" s="2">
        <v>2</v>
      </c>
      <c r="C126" s="2" t="str">
        <f t="shared" si="2"/>
        <v>female</v>
      </c>
      <c r="D126" s="2">
        <v>15000</v>
      </c>
      <c r="E126" s="2">
        <v>5100</v>
      </c>
      <c r="F126" s="2">
        <v>5300</v>
      </c>
      <c r="G126" s="2">
        <v>8</v>
      </c>
      <c r="H126" s="2">
        <v>4</v>
      </c>
      <c r="I126" s="2" t="str">
        <f t="shared" si="3"/>
        <v>lite</v>
      </c>
      <c r="J126" s="2">
        <v>1</v>
      </c>
      <c r="K126" s="2" t="str" cm="1">
        <f t="array" ref="K126">_xlfn.SWITCH(J126, 1, "premium", 2, "mainstream", 3, "gaming", 4, "value")</f>
        <v>premium</v>
      </c>
    </row>
    <row r="127" spans="1:11" x14ac:dyDescent="0.15">
      <c r="A127" s="2">
        <v>126</v>
      </c>
      <c r="B127" s="2">
        <v>2</v>
      </c>
      <c r="C127" s="2" t="str">
        <f t="shared" si="2"/>
        <v>female</v>
      </c>
      <c r="D127" s="2">
        <v>3000</v>
      </c>
      <c r="E127" s="2">
        <v>6900</v>
      </c>
      <c r="F127" s="2">
        <v>5600</v>
      </c>
      <c r="G127" s="2">
        <v>18</v>
      </c>
      <c r="H127" s="2">
        <v>4</v>
      </c>
      <c r="I127" s="2" t="str">
        <f t="shared" si="3"/>
        <v>lite</v>
      </c>
      <c r="J127" s="2">
        <v>2</v>
      </c>
      <c r="K127" s="2" t="str" cm="1">
        <f t="array" ref="K127">_xlfn.SWITCH(J127, 1, "premium", 2, "mainstream", 3, "gaming", 4, "value")</f>
        <v>mainstream</v>
      </c>
    </row>
    <row r="128" spans="1:11" x14ac:dyDescent="0.15">
      <c r="A128" s="2">
        <v>127</v>
      </c>
      <c r="B128" s="2">
        <v>1</v>
      </c>
      <c r="C128" s="2" t="str">
        <f t="shared" si="2"/>
        <v>male</v>
      </c>
      <c r="D128" s="2">
        <v>1500</v>
      </c>
      <c r="E128" s="2">
        <v>1208</v>
      </c>
      <c r="F128" s="2">
        <v>9900</v>
      </c>
      <c r="G128" s="2">
        <v>19</v>
      </c>
      <c r="H128" s="2">
        <v>4</v>
      </c>
      <c r="I128" s="2" t="str">
        <f t="shared" si="3"/>
        <v>lite</v>
      </c>
      <c r="J128" s="2">
        <v>2</v>
      </c>
      <c r="K128" s="2" t="str" cm="1">
        <f t="array" ref="K128">_xlfn.SWITCH(J128, 1, "premium", 2, "mainstream", 3, "gaming", 4, "value")</f>
        <v>mainstream</v>
      </c>
    </row>
    <row r="129" spans="1:11" x14ac:dyDescent="0.15">
      <c r="A129" s="2">
        <v>128</v>
      </c>
      <c r="B129" s="2">
        <v>2</v>
      </c>
      <c r="C129" s="2" t="str">
        <f t="shared" si="2"/>
        <v>female</v>
      </c>
      <c r="D129" s="2">
        <v>2500</v>
      </c>
      <c r="E129" s="2">
        <v>2999</v>
      </c>
      <c r="F129" s="2">
        <v>6600</v>
      </c>
      <c r="G129" s="2">
        <v>7</v>
      </c>
      <c r="H129" s="2">
        <v>1</v>
      </c>
      <c r="I129" s="2" t="str">
        <f t="shared" si="3"/>
        <v>performance</v>
      </c>
      <c r="J129" s="2">
        <v>3</v>
      </c>
      <c r="K129" s="2" t="str" cm="1">
        <f t="array" ref="K129">_xlfn.SWITCH(J129, 1, "premium", 2, "mainstream", 3, "gaming", 4, "value")</f>
        <v>gaming</v>
      </c>
    </row>
    <row r="130" spans="1:11" x14ac:dyDescent="0.15">
      <c r="A130" s="2">
        <v>129</v>
      </c>
      <c r="B130" s="2">
        <v>1</v>
      </c>
      <c r="C130" s="2" t="str">
        <f t="shared" si="2"/>
        <v>male</v>
      </c>
      <c r="D130" s="2">
        <v>1500</v>
      </c>
      <c r="E130" s="2">
        <v>7999</v>
      </c>
      <c r="F130" s="2">
        <v>5600</v>
      </c>
      <c r="G130" s="2">
        <v>6</v>
      </c>
      <c r="H130" s="2">
        <v>1</v>
      </c>
      <c r="I130" s="2" t="str">
        <f t="shared" si="3"/>
        <v>performance</v>
      </c>
      <c r="J130" s="2">
        <v>2</v>
      </c>
      <c r="K130" s="2" t="str" cm="1">
        <f t="array" ref="K130">_xlfn.SWITCH(J130, 1, "premium", 2, "mainstream", 3, "gaming", 4, "value")</f>
        <v>mainstream</v>
      </c>
    </row>
    <row r="131" spans="1:11" x14ac:dyDescent="0.15">
      <c r="A131" s="2">
        <v>130</v>
      </c>
      <c r="B131" s="2">
        <v>2</v>
      </c>
      <c r="C131" s="2" t="str">
        <f t="shared" ref="C131:C158" si="4">IF(B131=1,"male","female")</f>
        <v>female</v>
      </c>
      <c r="D131" s="2">
        <v>2000</v>
      </c>
      <c r="E131" s="2">
        <v>3200</v>
      </c>
      <c r="F131" s="2">
        <v>5500</v>
      </c>
      <c r="G131" s="2">
        <v>6</v>
      </c>
      <c r="H131" s="2">
        <v>4</v>
      </c>
      <c r="I131" s="2" t="str">
        <f t="shared" ref="I131:I158" si="5">IF(H131=4,"lite","performance")</f>
        <v>lite</v>
      </c>
      <c r="J131" s="2">
        <v>2</v>
      </c>
      <c r="K131" s="2" t="str" cm="1">
        <f t="array" ref="K131">_xlfn.SWITCH(J131, 1, "premium", 2, "mainstream", 3, "gaming", 4, "value")</f>
        <v>mainstream</v>
      </c>
    </row>
    <row r="132" spans="1:11" x14ac:dyDescent="0.15">
      <c r="A132" s="2">
        <v>131</v>
      </c>
      <c r="B132" s="2">
        <v>2</v>
      </c>
      <c r="C132" s="2" t="str">
        <f t="shared" si="4"/>
        <v>female</v>
      </c>
      <c r="D132" s="2">
        <v>1500</v>
      </c>
      <c r="E132" s="2">
        <v>6000</v>
      </c>
      <c r="F132" s="2">
        <v>7500</v>
      </c>
      <c r="G132" s="2">
        <v>2</v>
      </c>
      <c r="H132" s="2">
        <v>3</v>
      </c>
      <c r="I132" s="2" t="str">
        <f t="shared" si="5"/>
        <v>performance</v>
      </c>
      <c r="J132" s="2">
        <v>3</v>
      </c>
      <c r="K132" s="2" t="str" cm="1">
        <f t="array" ref="K132">_xlfn.SWITCH(J132, 1, "premium", 2, "mainstream", 3, "gaming", 4, "value")</f>
        <v>gaming</v>
      </c>
    </row>
    <row r="133" spans="1:11" x14ac:dyDescent="0.15">
      <c r="A133" s="2">
        <v>132</v>
      </c>
      <c r="B133" s="2">
        <v>2</v>
      </c>
      <c r="C133" s="2" t="str">
        <f t="shared" si="4"/>
        <v>female</v>
      </c>
      <c r="D133" s="2">
        <v>2500</v>
      </c>
      <c r="E133" s="2">
        <v>5999</v>
      </c>
      <c r="F133" s="2">
        <v>3599</v>
      </c>
      <c r="G133" s="2">
        <v>4</v>
      </c>
      <c r="H133" s="2">
        <v>4</v>
      </c>
      <c r="I133" s="2" t="str">
        <f t="shared" si="5"/>
        <v>lite</v>
      </c>
      <c r="J133" s="2">
        <v>1</v>
      </c>
      <c r="K133" s="2" t="str" cm="1">
        <f t="array" ref="K133">_xlfn.SWITCH(J133, 1, "premium", 2, "mainstream", 3, "gaming", 4, "value")</f>
        <v>premium</v>
      </c>
    </row>
    <row r="134" spans="1:11" x14ac:dyDescent="0.15">
      <c r="A134" s="2">
        <v>133</v>
      </c>
      <c r="B134" s="2">
        <v>1</v>
      </c>
      <c r="C134" s="2" t="str">
        <f t="shared" si="4"/>
        <v>male</v>
      </c>
      <c r="D134" s="2">
        <v>2400</v>
      </c>
      <c r="E134" s="2">
        <v>10000</v>
      </c>
      <c r="F134" s="2">
        <v>10000</v>
      </c>
      <c r="G134" s="2">
        <v>16</v>
      </c>
      <c r="H134" s="2">
        <v>1</v>
      </c>
      <c r="I134" s="2" t="str">
        <f t="shared" si="5"/>
        <v>performance</v>
      </c>
      <c r="J134" s="2">
        <v>3</v>
      </c>
      <c r="K134" s="2" t="str" cm="1">
        <f t="array" ref="K134">_xlfn.SWITCH(J134, 1, "premium", 2, "mainstream", 3, "gaming", 4, "value")</f>
        <v>gaming</v>
      </c>
    </row>
    <row r="135" spans="1:11" x14ac:dyDescent="0.15">
      <c r="A135" s="2">
        <v>134</v>
      </c>
      <c r="B135" s="2">
        <v>1</v>
      </c>
      <c r="C135" s="2" t="str">
        <f t="shared" si="4"/>
        <v>male</v>
      </c>
      <c r="D135" s="2">
        <v>2200</v>
      </c>
      <c r="E135" s="2">
        <v>2600</v>
      </c>
      <c r="F135" s="2">
        <v>10000</v>
      </c>
      <c r="G135" s="2">
        <v>6</v>
      </c>
      <c r="H135" s="2">
        <v>1</v>
      </c>
      <c r="I135" s="2" t="str">
        <f t="shared" si="5"/>
        <v>performance</v>
      </c>
      <c r="J135" s="2">
        <v>4</v>
      </c>
      <c r="K135" s="2" t="str" cm="1">
        <f t="array" ref="K135">_xlfn.SWITCH(J135, 1, "premium", 2, "mainstream", 3, "gaming", 4, "value")</f>
        <v>value</v>
      </c>
    </row>
    <row r="136" spans="1:11" x14ac:dyDescent="0.15">
      <c r="A136" s="2">
        <v>135</v>
      </c>
      <c r="B136" s="2">
        <v>2</v>
      </c>
      <c r="C136" s="2" t="str">
        <f t="shared" si="4"/>
        <v>female</v>
      </c>
      <c r="D136" s="2">
        <v>5500</v>
      </c>
      <c r="E136" s="2">
        <v>12500</v>
      </c>
      <c r="F136" s="2">
        <v>7500</v>
      </c>
      <c r="G136" s="2">
        <v>6</v>
      </c>
      <c r="H136" s="2">
        <v>4</v>
      </c>
      <c r="I136" s="2" t="str">
        <f t="shared" si="5"/>
        <v>lite</v>
      </c>
      <c r="J136" s="2">
        <v>2</v>
      </c>
      <c r="K136" s="2" t="str" cm="1">
        <f t="array" ref="K136">_xlfn.SWITCH(J136, 1, "premium", 2, "mainstream", 3, "gaming", 4, "value")</f>
        <v>mainstream</v>
      </c>
    </row>
    <row r="137" spans="1:11" x14ac:dyDescent="0.15">
      <c r="A137" s="2">
        <v>136</v>
      </c>
      <c r="B137" s="2">
        <v>1</v>
      </c>
      <c r="C137" s="2" t="str">
        <f t="shared" si="4"/>
        <v>male</v>
      </c>
      <c r="D137" s="2">
        <v>2500</v>
      </c>
      <c r="E137" s="2">
        <v>6099</v>
      </c>
      <c r="F137" s="2">
        <v>8999</v>
      </c>
      <c r="G137" s="2">
        <v>6</v>
      </c>
      <c r="H137" s="2">
        <v>1</v>
      </c>
      <c r="I137" s="2" t="str">
        <f t="shared" si="5"/>
        <v>performance</v>
      </c>
      <c r="J137" s="2">
        <v>2</v>
      </c>
      <c r="K137" s="2" t="str" cm="1">
        <f t="array" ref="K137">_xlfn.SWITCH(J137, 1, "premium", 2, "mainstream", 3, "gaming", 4, "value")</f>
        <v>mainstream</v>
      </c>
    </row>
    <row r="138" spans="1:11" x14ac:dyDescent="0.15">
      <c r="A138" s="2">
        <v>137</v>
      </c>
      <c r="B138" s="2">
        <v>1</v>
      </c>
      <c r="C138" s="2" t="str">
        <f t="shared" si="4"/>
        <v>male</v>
      </c>
      <c r="D138" s="2">
        <v>2000</v>
      </c>
      <c r="E138" s="2">
        <v>9900</v>
      </c>
      <c r="F138" s="2">
        <v>16900</v>
      </c>
      <c r="G138" s="2">
        <v>6</v>
      </c>
      <c r="H138" s="2">
        <v>1</v>
      </c>
      <c r="I138" s="2" t="str">
        <f t="shared" si="5"/>
        <v>performance</v>
      </c>
      <c r="J138" s="2">
        <v>3</v>
      </c>
      <c r="K138" s="2" t="str" cm="1">
        <f t="array" ref="K138">_xlfn.SWITCH(J138, 1, "premium", 2, "mainstream", 3, "gaming", 4, "value")</f>
        <v>gaming</v>
      </c>
    </row>
    <row r="139" spans="1:11" x14ac:dyDescent="0.15">
      <c r="A139" s="2">
        <v>138</v>
      </c>
      <c r="B139" s="2">
        <v>2</v>
      </c>
      <c r="C139" s="2" t="str">
        <f t="shared" si="4"/>
        <v>female</v>
      </c>
      <c r="D139" s="2">
        <v>2200</v>
      </c>
      <c r="E139" s="2">
        <v>5999</v>
      </c>
      <c r="F139" s="2">
        <v>5200</v>
      </c>
      <c r="G139" s="2">
        <v>6</v>
      </c>
      <c r="H139" s="2">
        <v>4</v>
      </c>
      <c r="I139" s="2" t="str">
        <f t="shared" si="5"/>
        <v>lite</v>
      </c>
      <c r="J139" s="2">
        <v>2</v>
      </c>
      <c r="K139" s="2" t="str" cm="1">
        <f t="array" ref="K139">_xlfn.SWITCH(J139, 1, "premium", 2, "mainstream", 3, "gaming", 4, "value")</f>
        <v>mainstream</v>
      </c>
    </row>
    <row r="140" spans="1:11" x14ac:dyDescent="0.15">
      <c r="A140" s="2">
        <v>139</v>
      </c>
      <c r="B140" s="2">
        <v>2</v>
      </c>
      <c r="C140" s="2" t="str">
        <f t="shared" si="4"/>
        <v>female</v>
      </c>
      <c r="D140" s="2">
        <v>3000</v>
      </c>
      <c r="E140" s="2">
        <v>12800</v>
      </c>
      <c r="F140" s="2">
        <v>10800</v>
      </c>
      <c r="G140" s="2">
        <v>6</v>
      </c>
      <c r="H140" s="2">
        <v>4</v>
      </c>
      <c r="I140" s="2" t="str">
        <f t="shared" si="5"/>
        <v>lite</v>
      </c>
      <c r="J140" s="2">
        <v>1</v>
      </c>
      <c r="K140" s="2" t="str" cm="1">
        <f t="array" ref="K140">_xlfn.SWITCH(J140, 1, "premium", 2, "mainstream", 3, "gaming", 4, "value")</f>
        <v>premium</v>
      </c>
    </row>
    <row r="141" spans="1:11" x14ac:dyDescent="0.15">
      <c r="A141" s="2">
        <v>140</v>
      </c>
      <c r="B141" s="2">
        <v>2</v>
      </c>
      <c r="C141" s="2" t="str">
        <f t="shared" si="4"/>
        <v>female</v>
      </c>
      <c r="D141" s="2">
        <v>2500</v>
      </c>
      <c r="E141" s="2">
        <v>9799</v>
      </c>
      <c r="F141" s="2">
        <v>10500</v>
      </c>
      <c r="G141" s="2">
        <v>6</v>
      </c>
      <c r="H141" s="2">
        <v>4</v>
      </c>
      <c r="I141" s="2" t="str">
        <f t="shared" si="5"/>
        <v>lite</v>
      </c>
      <c r="J141" s="2">
        <v>1</v>
      </c>
      <c r="K141" s="2" t="str" cm="1">
        <f t="array" ref="K141">_xlfn.SWITCH(J141, 1, "premium", 2, "mainstream", 3, "gaming", 4, "value")</f>
        <v>premium</v>
      </c>
    </row>
    <row r="142" spans="1:11" x14ac:dyDescent="0.15">
      <c r="A142" s="2">
        <v>141</v>
      </c>
      <c r="B142" s="2">
        <v>2</v>
      </c>
      <c r="C142" s="2" t="str">
        <f t="shared" si="4"/>
        <v>female</v>
      </c>
      <c r="D142" s="2">
        <v>3500</v>
      </c>
      <c r="E142" s="2">
        <v>9999</v>
      </c>
      <c r="F142" s="2">
        <v>13000</v>
      </c>
      <c r="G142" s="2">
        <v>6</v>
      </c>
      <c r="H142" s="2">
        <v>1</v>
      </c>
      <c r="I142" s="2" t="str">
        <f t="shared" si="5"/>
        <v>performance</v>
      </c>
      <c r="J142" s="2">
        <v>3</v>
      </c>
      <c r="K142" s="2" t="str" cm="1">
        <f t="array" ref="K142">_xlfn.SWITCH(J142, 1, "premium", 2, "mainstream", 3, "gaming", 4, "value")</f>
        <v>gaming</v>
      </c>
    </row>
    <row r="143" spans="1:11" x14ac:dyDescent="0.15">
      <c r="A143" s="2">
        <v>142</v>
      </c>
      <c r="B143" s="2">
        <v>2</v>
      </c>
      <c r="C143" s="2" t="str">
        <f t="shared" si="4"/>
        <v>female</v>
      </c>
      <c r="D143" s="2">
        <v>8000</v>
      </c>
      <c r="E143" s="2">
        <v>9000</v>
      </c>
      <c r="F143" s="2">
        <v>10000</v>
      </c>
      <c r="G143" s="2">
        <v>7</v>
      </c>
      <c r="H143" s="2">
        <v>4</v>
      </c>
      <c r="I143" s="2" t="str">
        <f t="shared" si="5"/>
        <v>lite</v>
      </c>
      <c r="J143" s="2">
        <v>1</v>
      </c>
      <c r="K143" s="2" t="str" cm="1">
        <f t="array" ref="K143">_xlfn.SWITCH(J143, 1, "premium", 2, "mainstream", 3, "gaming", 4, "value")</f>
        <v>premium</v>
      </c>
    </row>
    <row r="144" spans="1:11" x14ac:dyDescent="0.15">
      <c r="A144" s="2">
        <v>143</v>
      </c>
      <c r="B144" s="2">
        <v>2</v>
      </c>
      <c r="C144" s="2" t="str">
        <f t="shared" si="4"/>
        <v>female</v>
      </c>
      <c r="D144" s="2">
        <v>4200</v>
      </c>
      <c r="E144" s="2">
        <v>3500</v>
      </c>
      <c r="F144" s="2">
        <v>7500</v>
      </c>
      <c r="G144" s="2">
        <v>4</v>
      </c>
      <c r="H144" s="2">
        <v>2</v>
      </c>
      <c r="I144" s="2" t="str">
        <f t="shared" si="5"/>
        <v>performance</v>
      </c>
      <c r="J144" s="2">
        <v>3</v>
      </c>
      <c r="K144" s="2" t="str" cm="1">
        <f t="array" ref="K144">_xlfn.SWITCH(J144, 1, "premium", 2, "mainstream", 3, "gaming", 4, "value")</f>
        <v>gaming</v>
      </c>
    </row>
    <row r="145" spans="1:11" x14ac:dyDescent="0.15">
      <c r="A145" s="2">
        <v>144</v>
      </c>
      <c r="B145" s="2">
        <v>2</v>
      </c>
      <c r="C145" s="2" t="str">
        <f t="shared" si="4"/>
        <v>female</v>
      </c>
      <c r="D145" s="2">
        <v>2000</v>
      </c>
      <c r="E145" s="2">
        <v>2900</v>
      </c>
      <c r="F145" s="2">
        <v>4800</v>
      </c>
      <c r="G145" s="2">
        <v>1</v>
      </c>
      <c r="H145" s="2">
        <v>4</v>
      </c>
      <c r="I145" s="2" t="str">
        <f t="shared" si="5"/>
        <v>lite</v>
      </c>
      <c r="J145" s="2">
        <v>2</v>
      </c>
      <c r="K145" s="2" t="str" cm="1">
        <f t="array" ref="K145">_xlfn.SWITCH(J145, 1, "premium", 2, "mainstream", 3, "gaming", 4, "value")</f>
        <v>mainstream</v>
      </c>
    </row>
    <row r="146" spans="1:11" x14ac:dyDescent="0.15">
      <c r="A146" s="2">
        <v>145</v>
      </c>
      <c r="B146" s="2">
        <v>1</v>
      </c>
      <c r="C146" s="2" t="str">
        <f t="shared" si="4"/>
        <v>male</v>
      </c>
      <c r="D146" s="2">
        <v>2000</v>
      </c>
      <c r="E146" s="2">
        <v>5000</v>
      </c>
      <c r="F146" s="2">
        <v>12000</v>
      </c>
      <c r="G146" s="2">
        <v>4</v>
      </c>
      <c r="H146" s="2">
        <v>1</v>
      </c>
      <c r="I146" s="2" t="str">
        <f t="shared" si="5"/>
        <v>performance</v>
      </c>
      <c r="J146" s="2">
        <v>3</v>
      </c>
      <c r="K146" s="2" t="str" cm="1">
        <f t="array" ref="K146">_xlfn.SWITCH(J146, 1, "premium", 2, "mainstream", 3, "gaming", 4, "value")</f>
        <v>gaming</v>
      </c>
    </row>
    <row r="147" spans="1:11" x14ac:dyDescent="0.15">
      <c r="A147" s="2">
        <v>146</v>
      </c>
      <c r="B147" s="2">
        <v>1</v>
      </c>
      <c r="C147" s="2" t="str">
        <f t="shared" si="4"/>
        <v>male</v>
      </c>
      <c r="D147" s="2">
        <v>2200</v>
      </c>
      <c r="E147" s="2">
        <v>3400</v>
      </c>
      <c r="F147" s="2">
        <v>5500</v>
      </c>
      <c r="G147" s="2">
        <v>15</v>
      </c>
      <c r="H147" s="2">
        <v>4</v>
      </c>
      <c r="I147" s="2" t="str">
        <f t="shared" si="5"/>
        <v>lite</v>
      </c>
      <c r="J147" s="2">
        <v>2</v>
      </c>
      <c r="K147" s="2" t="str" cm="1">
        <f t="array" ref="K147">_xlfn.SWITCH(J147, 1, "premium", 2, "mainstream", 3, "gaming", 4, "value")</f>
        <v>mainstream</v>
      </c>
    </row>
    <row r="148" spans="1:11" x14ac:dyDescent="0.15">
      <c r="A148" s="2">
        <v>147</v>
      </c>
      <c r="B148" s="2">
        <v>2</v>
      </c>
      <c r="C148" s="2" t="str">
        <f t="shared" si="4"/>
        <v>female</v>
      </c>
      <c r="D148" s="2">
        <v>2000</v>
      </c>
      <c r="E148" s="2">
        <v>2200</v>
      </c>
      <c r="F148" s="2">
        <v>2300</v>
      </c>
      <c r="G148" s="2">
        <v>6</v>
      </c>
      <c r="H148" s="2">
        <v>2</v>
      </c>
      <c r="I148" s="2" t="str">
        <f t="shared" si="5"/>
        <v>performance</v>
      </c>
      <c r="J148" s="2">
        <v>4</v>
      </c>
      <c r="K148" s="2" t="str" cm="1">
        <f t="array" ref="K148">_xlfn.SWITCH(J148, 1, "premium", 2, "mainstream", 3, "gaming", 4, "value")</f>
        <v>value</v>
      </c>
    </row>
    <row r="149" spans="1:11" x14ac:dyDescent="0.15">
      <c r="A149" s="2">
        <v>148</v>
      </c>
      <c r="B149" s="2">
        <v>2</v>
      </c>
      <c r="C149" s="2" t="str">
        <f t="shared" si="4"/>
        <v>female</v>
      </c>
      <c r="D149" s="2">
        <v>2500</v>
      </c>
      <c r="E149" s="2">
        <v>6000</v>
      </c>
      <c r="F149" s="2">
        <v>5679</v>
      </c>
      <c r="G149" s="2">
        <v>6</v>
      </c>
      <c r="H149" s="2">
        <v>4</v>
      </c>
      <c r="I149" s="2" t="str">
        <f t="shared" si="5"/>
        <v>lite</v>
      </c>
      <c r="J149" s="2">
        <v>2</v>
      </c>
      <c r="K149" s="2" t="str" cm="1">
        <f t="array" ref="K149">_xlfn.SWITCH(J149, 1, "premium", 2, "mainstream", 3, "gaming", 4, "value")</f>
        <v>mainstream</v>
      </c>
    </row>
    <row r="150" spans="1:11" x14ac:dyDescent="0.15">
      <c r="A150" s="2">
        <v>149</v>
      </c>
      <c r="B150" s="2">
        <v>2</v>
      </c>
      <c r="C150" s="2" t="str">
        <f t="shared" si="4"/>
        <v>female</v>
      </c>
      <c r="D150" s="2">
        <v>3000</v>
      </c>
      <c r="E150" s="2">
        <v>9000</v>
      </c>
      <c r="F150" s="2">
        <v>7400</v>
      </c>
      <c r="G150" s="2">
        <v>8</v>
      </c>
      <c r="H150" s="2">
        <v>4</v>
      </c>
      <c r="I150" s="2" t="str">
        <f t="shared" si="5"/>
        <v>lite</v>
      </c>
      <c r="J150" s="2">
        <v>2</v>
      </c>
      <c r="K150" s="2" t="str" cm="1">
        <f t="array" ref="K150">_xlfn.SWITCH(J150, 1, "premium", 2, "mainstream", 3, "gaming", 4, "value")</f>
        <v>mainstream</v>
      </c>
    </row>
    <row r="151" spans="1:11" x14ac:dyDescent="0.15">
      <c r="A151" s="2">
        <v>150</v>
      </c>
      <c r="B151" s="2">
        <v>1</v>
      </c>
      <c r="C151" s="2" t="str">
        <f t="shared" si="4"/>
        <v>male</v>
      </c>
      <c r="D151" s="2">
        <v>2000</v>
      </c>
      <c r="E151" s="2">
        <v>6800</v>
      </c>
      <c r="F151" s="2">
        <v>4800</v>
      </c>
      <c r="G151" s="2">
        <v>42</v>
      </c>
      <c r="H151" s="2">
        <v>4</v>
      </c>
      <c r="I151" s="2" t="str">
        <f t="shared" si="5"/>
        <v>lite</v>
      </c>
      <c r="J151" s="2">
        <v>1</v>
      </c>
      <c r="K151" s="2" t="str" cm="1">
        <f t="array" ref="K151">_xlfn.SWITCH(J151, 1, "premium", 2, "mainstream", 3, "gaming", 4, "value")</f>
        <v>premium</v>
      </c>
    </row>
    <row r="152" spans="1:11" x14ac:dyDescent="0.15">
      <c r="A152" s="2">
        <v>151</v>
      </c>
      <c r="B152" s="2">
        <v>2</v>
      </c>
      <c r="C152" s="2" t="str">
        <f t="shared" si="4"/>
        <v>female</v>
      </c>
      <c r="D152" s="2">
        <v>73600</v>
      </c>
      <c r="E152" s="2">
        <v>5000</v>
      </c>
      <c r="F152" s="2">
        <v>7600</v>
      </c>
      <c r="G152" s="2">
        <v>6</v>
      </c>
      <c r="H152" s="2">
        <v>4</v>
      </c>
      <c r="I152" s="2" t="str">
        <f t="shared" si="5"/>
        <v>lite</v>
      </c>
      <c r="J152" s="2">
        <v>1</v>
      </c>
      <c r="K152" s="2" t="str" cm="1">
        <f t="array" ref="K152">_xlfn.SWITCH(J152, 1, "premium", 2, "mainstream", 3, "gaming", 4, "value")</f>
        <v>premium</v>
      </c>
    </row>
    <row r="153" spans="1:11" x14ac:dyDescent="0.15">
      <c r="A153" s="2">
        <v>152</v>
      </c>
      <c r="B153" s="2">
        <v>2</v>
      </c>
      <c r="C153" s="2" t="str">
        <f t="shared" si="4"/>
        <v>female</v>
      </c>
      <c r="D153" s="2">
        <v>2500</v>
      </c>
      <c r="E153" s="2">
        <v>8999</v>
      </c>
      <c r="F153" s="2">
        <v>5899</v>
      </c>
      <c r="G153" s="2">
        <v>9</v>
      </c>
      <c r="H153" s="2">
        <v>4</v>
      </c>
      <c r="I153" s="2" t="str">
        <f t="shared" si="5"/>
        <v>lite</v>
      </c>
      <c r="J153" s="2">
        <v>1</v>
      </c>
      <c r="K153" s="2" t="str" cm="1">
        <f t="array" ref="K153">_xlfn.SWITCH(J153, 1, "premium", 2, "mainstream", 3, "gaming", 4, "value")</f>
        <v>premium</v>
      </c>
    </row>
    <row r="154" spans="1:11" x14ac:dyDescent="0.15">
      <c r="A154" s="2">
        <v>153</v>
      </c>
      <c r="B154" s="2">
        <v>2</v>
      </c>
      <c r="C154" s="2" t="str">
        <f t="shared" si="4"/>
        <v>female</v>
      </c>
      <c r="D154" s="2">
        <v>3000</v>
      </c>
      <c r="E154" s="2">
        <v>13999</v>
      </c>
      <c r="F154" s="2">
        <v>12499</v>
      </c>
      <c r="G154" s="2">
        <v>6</v>
      </c>
      <c r="H154" s="2">
        <v>4</v>
      </c>
      <c r="I154" s="2" t="str">
        <f t="shared" si="5"/>
        <v>lite</v>
      </c>
      <c r="J154" s="2">
        <v>1</v>
      </c>
      <c r="K154" s="2" t="str" cm="1">
        <f t="array" ref="K154">_xlfn.SWITCH(J154, 1, "premium", 2, "mainstream", 3, "gaming", 4, "value")</f>
        <v>premium</v>
      </c>
    </row>
    <row r="155" spans="1:11" x14ac:dyDescent="0.15">
      <c r="A155" s="2">
        <v>154</v>
      </c>
      <c r="B155" s="2">
        <v>2</v>
      </c>
      <c r="C155" s="2" t="str">
        <f t="shared" si="4"/>
        <v>female</v>
      </c>
      <c r="D155" s="2">
        <v>3500</v>
      </c>
      <c r="E155" s="2">
        <v>2500</v>
      </c>
      <c r="F155" s="2">
        <v>5500</v>
      </c>
      <c r="G155" s="2">
        <v>8</v>
      </c>
      <c r="H155" s="2">
        <v>4</v>
      </c>
      <c r="I155" s="2" t="str">
        <f t="shared" si="5"/>
        <v>lite</v>
      </c>
      <c r="J155" s="2">
        <v>1</v>
      </c>
      <c r="K155" s="2" t="str" cm="1">
        <f t="array" ref="K155">_xlfn.SWITCH(J155, 1, "premium", 2, "mainstream", 3, "gaming", 4, "value")</f>
        <v>premium</v>
      </c>
    </row>
    <row r="156" spans="1:11" x14ac:dyDescent="0.15">
      <c r="A156" s="2">
        <v>155</v>
      </c>
      <c r="B156" s="2">
        <v>2</v>
      </c>
      <c r="C156" s="2" t="str">
        <f t="shared" si="4"/>
        <v>female</v>
      </c>
      <c r="D156" s="2">
        <v>1000</v>
      </c>
      <c r="E156" s="2">
        <v>5900</v>
      </c>
      <c r="F156" s="2">
        <v>10000</v>
      </c>
      <c r="G156" s="2">
        <v>6</v>
      </c>
      <c r="H156" s="2">
        <v>1</v>
      </c>
      <c r="I156" s="2" t="str">
        <f t="shared" si="5"/>
        <v>performance</v>
      </c>
      <c r="J156" s="2">
        <v>3</v>
      </c>
      <c r="K156" s="2" t="str" cm="1">
        <f t="array" ref="K156">_xlfn.SWITCH(J156, 1, "premium", 2, "mainstream", 3, "gaming", 4, "value")</f>
        <v>gaming</v>
      </c>
    </row>
    <row r="157" spans="1:11" x14ac:dyDescent="0.15">
      <c r="A157" s="2">
        <v>156</v>
      </c>
      <c r="B157" s="2">
        <v>1</v>
      </c>
      <c r="C157" s="2" t="str">
        <f t="shared" si="4"/>
        <v>male</v>
      </c>
      <c r="D157" s="2">
        <v>3000</v>
      </c>
      <c r="E157" s="2">
        <v>10499</v>
      </c>
      <c r="F157" s="2">
        <v>12999</v>
      </c>
      <c r="G157" s="2">
        <v>15</v>
      </c>
      <c r="H157" s="2">
        <v>1</v>
      </c>
      <c r="I157" s="2" t="str">
        <f t="shared" si="5"/>
        <v>performance</v>
      </c>
      <c r="J157" s="2">
        <v>2</v>
      </c>
      <c r="K157" s="2" t="str" cm="1">
        <f t="array" ref="K157">_xlfn.SWITCH(J157, 1, "premium", 2, "mainstream", 3, "gaming", 4, "value")</f>
        <v>mainstream</v>
      </c>
    </row>
    <row r="158" spans="1:11" x14ac:dyDescent="0.15">
      <c r="A158" s="2">
        <v>157</v>
      </c>
      <c r="B158" s="2">
        <v>2</v>
      </c>
      <c r="C158" s="2" t="str">
        <f t="shared" si="4"/>
        <v>female</v>
      </c>
      <c r="D158" s="2">
        <v>6000</v>
      </c>
      <c r="E158" s="2">
        <v>3000</v>
      </c>
      <c r="F158" s="2">
        <v>4705</v>
      </c>
      <c r="G158" s="2">
        <v>8</v>
      </c>
      <c r="H158" s="2">
        <v>4</v>
      </c>
      <c r="I158" s="2" t="str">
        <f t="shared" si="5"/>
        <v>lite</v>
      </c>
      <c r="J158" s="2">
        <v>2</v>
      </c>
      <c r="K158" s="2" t="str" cm="1">
        <f t="array" ref="K158">_xlfn.SWITCH(J158, 1, "premium", 2, "mainstream", 3, "gaming", 4, "value")</f>
        <v>mainstream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BDE4-D9E4-7742-85AF-6F8FD572E94B}">
  <dimension ref="A1:H158"/>
  <sheetViews>
    <sheetView zoomScale="260" workbookViewId="0">
      <pane xSplit="1" ySplit="1" topLeftCell="B156" activePane="bottomRight" state="frozen"/>
      <selection pane="topRight" activeCell="B1" sqref="B1"/>
      <selection pane="bottomLeft" activeCell="A2" sqref="A2"/>
      <selection pane="bottomRight" activeCell="E167" sqref="E167"/>
    </sheetView>
  </sheetViews>
  <sheetFormatPr baseColWidth="10" defaultRowHeight="13" x14ac:dyDescent="0.15"/>
  <sheetData>
    <row r="1" spans="1:8" x14ac:dyDescent="0.15">
      <c r="A1" t="s">
        <v>455</v>
      </c>
      <c r="B1" t="s">
        <v>456</v>
      </c>
      <c r="C1" t="s">
        <v>429</v>
      </c>
      <c r="D1" t="s">
        <v>431</v>
      </c>
      <c r="E1" t="s">
        <v>433</v>
      </c>
      <c r="F1" t="s">
        <v>435</v>
      </c>
      <c r="G1" t="s">
        <v>440</v>
      </c>
      <c r="H1" t="s">
        <v>444</v>
      </c>
    </row>
    <row r="2" spans="1:8" x14ac:dyDescent="0.15">
      <c r="A2">
        <v>1</v>
      </c>
      <c r="B2" t="s">
        <v>427</v>
      </c>
      <c r="C2">
        <v>2000</v>
      </c>
      <c r="D2">
        <v>5000</v>
      </c>
      <c r="E2">
        <v>6000</v>
      </c>
      <c r="F2">
        <v>20</v>
      </c>
      <c r="G2" t="s">
        <v>448</v>
      </c>
      <c r="H2" t="s">
        <v>449</v>
      </c>
    </row>
    <row r="3" spans="1:8" x14ac:dyDescent="0.15">
      <c r="A3">
        <v>2</v>
      </c>
      <c r="B3" t="s">
        <v>427</v>
      </c>
      <c r="C3">
        <v>1500</v>
      </c>
      <c r="D3">
        <v>2400</v>
      </c>
      <c r="E3">
        <v>5700</v>
      </c>
      <c r="F3">
        <v>1</v>
      </c>
      <c r="G3" t="s">
        <v>448</v>
      </c>
      <c r="H3" t="s">
        <v>450</v>
      </c>
    </row>
    <row r="4" spans="1:8" x14ac:dyDescent="0.15">
      <c r="A4">
        <v>3</v>
      </c>
      <c r="B4" t="s">
        <v>427</v>
      </c>
      <c r="C4">
        <v>1000</v>
      </c>
      <c r="D4">
        <v>2500</v>
      </c>
      <c r="E4">
        <v>8000</v>
      </c>
      <c r="F4">
        <v>18</v>
      </c>
      <c r="G4" t="s">
        <v>448</v>
      </c>
      <c r="H4" t="s">
        <v>451</v>
      </c>
    </row>
    <row r="5" spans="1:8" x14ac:dyDescent="0.15">
      <c r="A5">
        <v>4</v>
      </c>
      <c r="B5" t="s">
        <v>427</v>
      </c>
      <c r="C5">
        <v>2000</v>
      </c>
      <c r="D5">
        <v>7999</v>
      </c>
      <c r="E5">
        <v>11999</v>
      </c>
      <c r="F5">
        <v>6</v>
      </c>
      <c r="G5" t="s">
        <v>452</v>
      </c>
      <c r="H5" t="s">
        <v>453</v>
      </c>
    </row>
    <row r="6" spans="1:8" x14ac:dyDescent="0.15">
      <c r="A6">
        <v>5</v>
      </c>
      <c r="B6" t="s">
        <v>454</v>
      </c>
      <c r="C6">
        <v>2000</v>
      </c>
      <c r="D6">
        <v>3100</v>
      </c>
      <c r="E6">
        <v>5999</v>
      </c>
      <c r="F6">
        <v>18</v>
      </c>
      <c r="G6" t="s">
        <v>452</v>
      </c>
      <c r="H6" t="s">
        <v>451</v>
      </c>
    </row>
    <row r="7" spans="1:8" x14ac:dyDescent="0.15">
      <c r="A7">
        <v>6</v>
      </c>
      <c r="B7" t="s">
        <v>427</v>
      </c>
      <c r="C7">
        <v>2500</v>
      </c>
      <c r="D7">
        <v>5988</v>
      </c>
      <c r="E7">
        <v>7800</v>
      </c>
      <c r="F7">
        <v>2</v>
      </c>
      <c r="G7" t="s">
        <v>448</v>
      </c>
      <c r="H7" t="s">
        <v>450</v>
      </c>
    </row>
    <row r="8" spans="1:8" x14ac:dyDescent="0.15">
      <c r="A8">
        <v>7</v>
      </c>
      <c r="B8" t="s">
        <v>454</v>
      </c>
      <c r="C8">
        <v>800</v>
      </c>
      <c r="D8">
        <v>2100</v>
      </c>
      <c r="E8">
        <v>6400</v>
      </c>
      <c r="F8">
        <v>19</v>
      </c>
      <c r="G8" t="s">
        <v>452</v>
      </c>
      <c r="H8" t="s">
        <v>449</v>
      </c>
    </row>
    <row r="9" spans="1:8" x14ac:dyDescent="0.15">
      <c r="A9">
        <v>8</v>
      </c>
      <c r="B9" t="s">
        <v>454</v>
      </c>
      <c r="C9">
        <v>2500</v>
      </c>
      <c r="D9">
        <v>3900</v>
      </c>
      <c r="E9">
        <v>8000</v>
      </c>
      <c r="F9">
        <v>20</v>
      </c>
      <c r="G9" t="s">
        <v>452</v>
      </c>
      <c r="H9" t="s">
        <v>450</v>
      </c>
    </row>
    <row r="10" spans="1:8" x14ac:dyDescent="0.15">
      <c r="A10">
        <v>9</v>
      </c>
      <c r="B10" t="s">
        <v>427</v>
      </c>
      <c r="C10">
        <v>1500</v>
      </c>
      <c r="D10">
        <v>2100</v>
      </c>
      <c r="E10">
        <v>6400</v>
      </c>
      <c r="F10">
        <v>13</v>
      </c>
      <c r="G10" t="s">
        <v>448</v>
      </c>
      <c r="H10" t="s">
        <v>450</v>
      </c>
    </row>
    <row r="11" spans="1:8" x14ac:dyDescent="0.15">
      <c r="A11">
        <v>10</v>
      </c>
      <c r="B11" t="s">
        <v>427</v>
      </c>
      <c r="C11">
        <v>2500</v>
      </c>
      <c r="D11">
        <v>9900</v>
      </c>
      <c r="E11">
        <v>7800</v>
      </c>
      <c r="F11">
        <v>4</v>
      </c>
      <c r="G11" t="s">
        <v>452</v>
      </c>
      <c r="H11" t="s">
        <v>451</v>
      </c>
    </row>
    <row r="12" spans="1:8" x14ac:dyDescent="0.15">
      <c r="A12">
        <v>11</v>
      </c>
      <c r="B12" t="s">
        <v>427</v>
      </c>
      <c r="C12">
        <v>2000</v>
      </c>
      <c r="D12">
        <v>5500</v>
      </c>
      <c r="E12">
        <v>6000</v>
      </c>
      <c r="F12">
        <v>20</v>
      </c>
      <c r="G12" t="s">
        <v>452</v>
      </c>
      <c r="H12" t="s">
        <v>450</v>
      </c>
    </row>
    <row r="13" spans="1:8" x14ac:dyDescent="0.15">
      <c r="A13">
        <v>12</v>
      </c>
      <c r="B13" t="s">
        <v>427</v>
      </c>
      <c r="C13">
        <v>2000</v>
      </c>
      <c r="D13">
        <v>6000</v>
      </c>
      <c r="E13">
        <v>7000</v>
      </c>
      <c r="F13">
        <v>18</v>
      </c>
      <c r="G13" t="s">
        <v>448</v>
      </c>
      <c r="H13" t="s">
        <v>451</v>
      </c>
    </row>
    <row r="14" spans="1:8" x14ac:dyDescent="0.15">
      <c r="A14">
        <v>13</v>
      </c>
      <c r="B14" t="s">
        <v>454</v>
      </c>
      <c r="C14">
        <v>2700</v>
      </c>
      <c r="D14">
        <v>7999</v>
      </c>
      <c r="E14">
        <v>6500</v>
      </c>
      <c r="F14">
        <v>6</v>
      </c>
      <c r="G14" t="s">
        <v>452</v>
      </c>
      <c r="H14" t="s">
        <v>450</v>
      </c>
    </row>
    <row r="15" spans="1:8" x14ac:dyDescent="0.15">
      <c r="A15">
        <v>14</v>
      </c>
      <c r="B15" t="s">
        <v>454</v>
      </c>
      <c r="C15">
        <v>1500</v>
      </c>
      <c r="D15">
        <v>2000</v>
      </c>
      <c r="E15">
        <v>5000</v>
      </c>
      <c r="F15">
        <v>17</v>
      </c>
      <c r="G15" t="s">
        <v>448</v>
      </c>
      <c r="H15" t="s">
        <v>450</v>
      </c>
    </row>
    <row r="16" spans="1:8" x14ac:dyDescent="0.15">
      <c r="A16">
        <v>15</v>
      </c>
      <c r="B16" t="s">
        <v>454</v>
      </c>
      <c r="C16">
        <v>2500</v>
      </c>
      <c r="D16">
        <v>10000</v>
      </c>
      <c r="E16">
        <v>0</v>
      </c>
      <c r="F16">
        <v>0</v>
      </c>
      <c r="G16" t="s">
        <v>448</v>
      </c>
      <c r="H16" t="s">
        <v>450</v>
      </c>
    </row>
    <row r="17" spans="1:8" x14ac:dyDescent="0.15">
      <c r="A17">
        <v>16</v>
      </c>
      <c r="B17" t="s">
        <v>454</v>
      </c>
      <c r="C17">
        <v>2000</v>
      </c>
      <c r="D17">
        <v>5199</v>
      </c>
      <c r="E17">
        <v>8999</v>
      </c>
      <c r="F17">
        <v>6</v>
      </c>
      <c r="G17" t="s">
        <v>452</v>
      </c>
      <c r="H17" t="s">
        <v>449</v>
      </c>
    </row>
    <row r="18" spans="1:8" x14ac:dyDescent="0.15">
      <c r="A18">
        <v>17</v>
      </c>
      <c r="B18" t="s">
        <v>454</v>
      </c>
      <c r="C18">
        <v>1500</v>
      </c>
      <c r="D18">
        <v>8000</v>
      </c>
      <c r="E18">
        <v>6000</v>
      </c>
      <c r="F18">
        <v>18</v>
      </c>
      <c r="G18" t="s">
        <v>452</v>
      </c>
      <c r="H18" t="s">
        <v>450</v>
      </c>
    </row>
    <row r="19" spans="1:8" x14ac:dyDescent="0.15">
      <c r="A19">
        <v>18</v>
      </c>
      <c r="B19" t="s">
        <v>427</v>
      </c>
      <c r="C19">
        <v>2500</v>
      </c>
      <c r="D19">
        <v>3000</v>
      </c>
      <c r="E19">
        <v>8000</v>
      </c>
      <c r="F19">
        <v>19</v>
      </c>
      <c r="G19" t="s">
        <v>448</v>
      </c>
      <c r="H19" t="s">
        <v>449</v>
      </c>
    </row>
    <row r="20" spans="1:8" x14ac:dyDescent="0.15">
      <c r="A20">
        <v>19</v>
      </c>
      <c r="B20" t="s">
        <v>454</v>
      </c>
      <c r="C20">
        <v>2500</v>
      </c>
      <c r="D20">
        <v>5690</v>
      </c>
      <c r="E20">
        <v>5999</v>
      </c>
      <c r="F20">
        <v>20</v>
      </c>
      <c r="G20" t="s">
        <v>452</v>
      </c>
      <c r="H20" t="s">
        <v>450</v>
      </c>
    </row>
    <row r="21" spans="1:8" x14ac:dyDescent="0.15">
      <c r="A21">
        <v>20</v>
      </c>
      <c r="B21" t="s">
        <v>454</v>
      </c>
      <c r="C21">
        <v>2000</v>
      </c>
      <c r="D21">
        <v>5500</v>
      </c>
      <c r="E21">
        <v>7500</v>
      </c>
      <c r="F21">
        <v>18</v>
      </c>
      <c r="G21" t="s">
        <v>452</v>
      </c>
      <c r="H21" t="s">
        <v>450</v>
      </c>
    </row>
    <row r="22" spans="1:8" x14ac:dyDescent="0.15">
      <c r="A22">
        <v>21</v>
      </c>
      <c r="B22" t="s">
        <v>454</v>
      </c>
      <c r="C22">
        <v>1500</v>
      </c>
      <c r="D22">
        <v>3000</v>
      </c>
      <c r="E22">
        <v>7000</v>
      </c>
      <c r="F22">
        <v>15</v>
      </c>
      <c r="G22" t="s">
        <v>452</v>
      </c>
      <c r="H22" t="s">
        <v>450</v>
      </c>
    </row>
    <row r="23" spans="1:8" x14ac:dyDescent="0.15">
      <c r="A23">
        <v>22</v>
      </c>
      <c r="B23" t="s">
        <v>454</v>
      </c>
      <c r="C23">
        <v>1500</v>
      </c>
      <c r="D23">
        <v>6000</v>
      </c>
      <c r="E23">
        <v>7000</v>
      </c>
      <c r="F23">
        <v>18</v>
      </c>
      <c r="G23" t="s">
        <v>452</v>
      </c>
      <c r="H23" t="s">
        <v>450</v>
      </c>
    </row>
    <row r="24" spans="1:8" x14ac:dyDescent="0.15">
      <c r="A24">
        <v>23</v>
      </c>
      <c r="B24" t="s">
        <v>454</v>
      </c>
      <c r="C24">
        <v>1700</v>
      </c>
      <c r="D24">
        <v>3900</v>
      </c>
      <c r="E24">
        <v>4300</v>
      </c>
      <c r="F24">
        <v>18</v>
      </c>
      <c r="G24" t="s">
        <v>452</v>
      </c>
      <c r="H24" t="s">
        <v>450</v>
      </c>
    </row>
    <row r="25" spans="1:8" x14ac:dyDescent="0.15">
      <c r="A25">
        <v>24</v>
      </c>
      <c r="B25" t="s">
        <v>454</v>
      </c>
      <c r="C25">
        <v>2500</v>
      </c>
      <c r="D25">
        <v>10000</v>
      </c>
      <c r="E25">
        <v>6300</v>
      </c>
      <c r="F25">
        <v>36</v>
      </c>
      <c r="G25" t="s">
        <v>452</v>
      </c>
      <c r="H25" t="s">
        <v>450</v>
      </c>
    </row>
    <row r="26" spans="1:8" x14ac:dyDescent="0.15">
      <c r="A26">
        <v>25</v>
      </c>
      <c r="B26" t="s">
        <v>454</v>
      </c>
      <c r="C26">
        <v>2200</v>
      </c>
      <c r="D26">
        <v>2900</v>
      </c>
      <c r="E26">
        <v>5100</v>
      </c>
      <c r="F26">
        <v>17</v>
      </c>
      <c r="G26" t="s">
        <v>448</v>
      </c>
      <c r="H26" t="s">
        <v>449</v>
      </c>
    </row>
    <row r="27" spans="1:8" x14ac:dyDescent="0.15">
      <c r="A27">
        <v>26</v>
      </c>
      <c r="B27" t="s">
        <v>454</v>
      </c>
      <c r="C27">
        <v>1500</v>
      </c>
      <c r="D27">
        <v>6000</v>
      </c>
      <c r="E27">
        <v>7000</v>
      </c>
      <c r="F27">
        <v>62</v>
      </c>
      <c r="G27" t="s">
        <v>452</v>
      </c>
      <c r="H27" t="s">
        <v>450</v>
      </c>
    </row>
    <row r="28" spans="1:8" x14ac:dyDescent="0.15">
      <c r="A28">
        <v>27</v>
      </c>
      <c r="B28" t="s">
        <v>427</v>
      </c>
      <c r="C28">
        <v>2000</v>
      </c>
      <c r="D28">
        <v>3400</v>
      </c>
      <c r="E28">
        <v>5600</v>
      </c>
      <c r="F28">
        <v>6</v>
      </c>
      <c r="G28" t="s">
        <v>452</v>
      </c>
      <c r="H28" t="s">
        <v>450</v>
      </c>
    </row>
    <row r="29" spans="1:8" x14ac:dyDescent="0.15">
      <c r="A29">
        <v>28</v>
      </c>
      <c r="B29" t="s">
        <v>454</v>
      </c>
      <c r="C29">
        <v>2000</v>
      </c>
      <c r="D29">
        <v>5999</v>
      </c>
      <c r="E29">
        <v>6789</v>
      </c>
      <c r="F29">
        <v>24</v>
      </c>
      <c r="G29" t="s">
        <v>448</v>
      </c>
      <c r="H29" t="s">
        <v>451</v>
      </c>
    </row>
    <row r="30" spans="1:8" x14ac:dyDescent="0.15">
      <c r="A30">
        <v>29</v>
      </c>
      <c r="B30" t="s">
        <v>454</v>
      </c>
      <c r="C30">
        <v>2000</v>
      </c>
      <c r="D30">
        <v>3200</v>
      </c>
      <c r="E30">
        <v>5400</v>
      </c>
      <c r="F30">
        <v>18</v>
      </c>
      <c r="G30" t="s">
        <v>448</v>
      </c>
      <c r="H30" t="s">
        <v>451</v>
      </c>
    </row>
    <row r="31" spans="1:8" x14ac:dyDescent="0.15">
      <c r="A31">
        <v>30</v>
      </c>
      <c r="B31" t="s">
        <v>454</v>
      </c>
      <c r="C31">
        <v>2000</v>
      </c>
      <c r="D31">
        <v>5499</v>
      </c>
      <c r="E31">
        <v>5320</v>
      </c>
      <c r="F31">
        <v>17</v>
      </c>
      <c r="G31" t="s">
        <v>448</v>
      </c>
      <c r="H31" t="s">
        <v>450</v>
      </c>
    </row>
    <row r="32" spans="1:8" x14ac:dyDescent="0.15">
      <c r="A32">
        <v>31</v>
      </c>
      <c r="B32" t="s">
        <v>454</v>
      </c>
      <c r="C32">
        <v>2000</v>
      </c>
      <c r="D32">
        <v>1800</v>
      </c>
      <c r="E32">
        <v>3000</v>
      </c>
      <c r="F32">
        <v>15</v>
      </c>
      <c r="G32" t="s">
        <v>448</v>
      </c>
      <c r="H32" t="s">
        <v>449</v>
      </c>
    </row>
    <row r="33" spans="1:8" x14ac:dyDescent="0.15">
      <c r="A33">
        <v>32</v>
      </c>
      <c r="B33" t="s">
        <v>454</v>
      </c>
      <c r="C33">
        <v>1800</v>
      </c>
      <c r="D33">
        <v>3400</v>
      </c>
      <c r="E33">
        <v>4000</v>
      </c>
      <c r="F33">
        <v>41</v>
      </c>
      <c r="G33" t="s">
        <v>452</v>
      </c>
      <c r="H33" t="s">
        <v>450</v>
      </c>
    </row>
    <row r="34" spans="1:8" x14ac:dyDescent="0.15">
      <c r="A34">
        <v>33</v>
      </c>
      <c r="B34" t="s">
        <v>427</v>
      </c>
      <c r="C34">
        <v>1500</v>
      </c>
      <c r="D34">
        <v>3700</v>
      </c>
      <c r="E34">
        <v>6500</v>
      </c>
      <c r="F34">
        <v>20</v>
      </c>
      <c r="G34" t="s">
        <v>448</v>
      </c>
      <c r="H34" t="s">
        <v>451</v>
      </c>
    </row>
    <row r="35" spans="1:8" x14ac:dyDescent="0.15">
      <c r="A35">
        <v>34</v>
      </c>
      <c r="B35" t="s">
        <v>454</v>
      </c>
      <c r="C35">
        <v>3000</v>
      </c>
      <c r="D35">
        <v>10999</v>
      </c>
      <c r="E35">
        <v>6199</v>
      </c>
      <c r="F35">
        <v>4</v>
      </c>
      <c r="G35" t="s">
        <v>452</v>
      </c>
      <c r="H35" t="s">
        <v>450</v>
      </c>
    </row>
    <row r="36" spans="1:8" x14ac:dyDescent="0.15">
      <c r="A36">
        <v>35</v>
      </c>
      <c r="B36" t="s">
        <v>454</v>
      </c>
      <c r="C36">
        <v>1500</v>
      </c>
      <c r="D36">
        <v>7900</v>
      </c>
      <c r="E36">
        <v>4500</v>
      </c>
      <c r="F36">
        <v>19</v>
      </c>
      <c r="G36" t="s">
        <v>452</v>
      </c>
      <c r="H36" t="s">
        <v>450</v>
      </c>
    </row>
    <row r="37" spans="1:8" x14ac:dyDescent="0.15">
      <c r="A37">
        <v>36</v>
      </c>
      <c r="B37" t="s">
        <v>454</v>
      </c>
      <c r="C37">
        <v>1700</v>
      </c>
      <c r="D37">
        <v>2500</v>
      </c>
      <c r="E37">
        <v>5000</v>
      </c>
      <c r="F37">
        <v>30</v>
      </c>
      <c r="G37" t="s">
        <v>448</v>
      </c>
      <c r="H37" t="s">
        <v>449</v>
      </c>
    </row>
    <row r="38" spans="1:8" x14ac:dyDescent="0.15">
      <c r="A38">
        <v>37</v>
      </c>
      <c r="B38" t="s">
        <v>454</v>
      </c>
      <c r="C38">
        <v>2000</v>
      </c>
      <c r="D38">
        <v>4500</v>
      </c>
      <c r="E38">
        <v>6700</v>
      </c>
      <c r="F38">
        <v>18</v>
      </c>
      <c r="G38" t="s">
        <v>452</v>
      </c>
      <c r="H38" t="s">
        <v>449</v>
      </c>
    </row>
    <row r="39" spans="1:8" x14ac:dyDescent="0.15">
      <c r="A39">
        <v>38</v>
      </c>
      <c r="B39" t="s">
        <v>454</v>
      </c>
      <c r="C39">
        <v>1600</v>
      </c>
      <c r="D39">
        <v>6000</v>
      </c>
      <c r="E39">
        <v>6000</v>
      </c>
      <c r="F39">
        <v>18</v>
      </c>
      <c r="G39" t="s">
        <v>448</v>
      </c>
      <c r="H39" t="s">
        <v>450</v>
      </c>
    </row>
    <row r="40" spans="1:8" x14ac:dyDescent="0.15">
      <c r="A40">
        <v>39</v>
      </c>
      <c r="B40" t="s">
        <v>454</v>
      </c>
      <c r="C40">
        <v>2000</v>
      </c>
      <c r="D40">
        <v>7500</v>
      </c>
      <c r="E40">
        <v>4700</v>
      </c>
      <c r="F40">
        <v>12</v>
      </c>
      <c r="G40" t="s">
        <v>448</v>
      </c>
      <c r="H40" t="s">
        <v>449</v>
      </c>
    </row>
    <row r="41" spans="1:8" x14ac:dyDescent="0.15">
      <c r="A41">
        <v>40</v>
      </c>
      <c r="B41" t="s">
        <v>454</v>
      </c>
      <c r="C41">
        <v>1500</v>
      </c>
      <c r="D41">
        <v>5000</v>
      </c>
      <c r="E41">
        <v>3000</v>
      </c>
      <c r="F41">
        <v>24</v>
      </c>
      <c r="G41" t="s">
        <v>452</v>
      </c>
      <c r="H41" t="s">
        <v>450</v>
      </c>
    </row>
    <row r="42" spans="1:8" x14ac:dyDescent="0.15">
      <c r="A42">
        <v>41</v>
      </c>
      <c r="B42" t="s">
        <v>427</v>
      </c>
      <c r="C42">
        <v>2000</v>
      </c>
      <c r="D42">
        <v>5300</v>
      </c>
      <c r="E42">
        <v>5000</v>
      </c>
      <c r="F42">
        <v>12</v>
      </c>
      <c r="G42" t="s">
        <v>448</v>
      </c>
      <c r="H42" t="s">
        <v>449</v>
      </c>
    </row>
    <row r="43" spans="1:8" x14ac:dyDescent="0.15">
      <c r="A43">
        <v>42</v>
      </c>
      <c r="B43" t="s">
        <v>427</v>
      </c>
      <c r="C43">
        <v>2000</v>
      </c>
      <c r="D43">
        <v>4500</v>
      </c>
      <c r="E43">
        <v>7299</v>
      </c>
      <c r="F43">
        <v>18</v>
      </c>
      <c r="G43" t="s">
        <v>448</v>
      </c>
      <c r="H43" t="s">
        <v>450</v>
      </c>
    </row>
    <row r="44" spans="1:8" x14ac:dyDescent="0.15">
      <c r="A44">
        <v>43</v>
      </c>
      <c r="B44" t="s">
        <v>454</v>
      </c>
      <c r="C44">
        <v>7000</v>
      </c>
      <c r="D44">
        <v>2390</v>
      </c>
      <c r="E44">
        <v>6600</v>
      </c>
      <c r="F44">
        <v>9</v>
      </c>
      <c r="G44" t="s">
        <v>452</v>
      </c>
      <c r="H44" t="s">
        <v>450</v>
      </c>
    </row>
    <row r="45" spans="1:8" x14ac:dyDescent="0.15">
      <c r="A45">
        <v>44</v>
      </c>
      <c r="B45" t="s">
        <v>454</v>
      </c>
      <c r="C45">
        <v>2000</v>
      </c>
      <c r="D45">
        <v>7000</v>
      </c>
      <c r="E45">
        <v>6500</v>
      </c>
      <c r="F45">
        <v>18</v>
      </c>
      <c r="G45" t="s">
        <v>448</v>
      </c>
      <c r="H45" t="s">
        <v>453</v>
      </c>
    </row>
    <row r="46" spans="1:8" x14ac:dyDescent="0.15">
      <c r="A46">
        <v>45</v>
      </c>
      <c r="B46" t="s">
        <v>454</v>
      </c>
      <c r="C46">
        <v>1800</v>
      </c>
      <c r="D46">
        <v>4900</v>
      </c>
      <c r="E46">
        <v>6900</v>
      </c>
      <c r="F46">
        <v>19</v>
      </c>
      <c r="G46" t="s">
        <v>452</v>
      </c>
      <c r="H46" t="s">
        <v>450</v>
      </c>
    </row>
    <row r="47" spans="1:8" x14ac:dyDescent="0.15">
      <c r="A47">
        <v>46</v>
      </c>
      <c r="B47" t="s">
        <v>454</v>
      </c>
      <c r="C47">
        <v>1400</v>
      </c>
      <c r="D47">
        <v>2450</v>
      </c>
      <c r="E47">
        <v>7800</v>
      </c>
      <c r="F47">
        <v>12</v>
      </c>
      <c r="G47" t="s">
        <v>452</v>
      </c>
      <c r="H47" t="s">
        <v>450</v>
      </c>
    </row>
    <row r="48" spans="1:8" x14ac:dyDescent="0.15">
      <c r="A48">
        <v>47</v>
      </c>
      <c r="B48" t="s">
        <v>427</v>
      </c>
      <c r="C48">
        <v>1000</v>
      </c>
      <c r="D48">
        <v>2200</v>
      </c>
      <c r="E48">
        <v>6200</v>
      </c>
      <c r="F48">
        <v>21</v>
      </c>
      <c r="G48" t="s">
        <v>448</v>
      </c>
      <c r="H48" t="s">
        <v>450</v>
      </c>
    </row>
    <row r="49" spans="1:8" x14ac:dyDescent="0.15">
      <c r="A49">
        <v>48</v>
      </c>
      <c r="B49" t="s">
        <v>454</v>
      </c>
      <c r="C49">
        <v>2000</v>
      </c>
      <c r="D49">
        <v>5600</v>
      </c>
      <c r="E49">
        <v>5800</v>
      </c>
      <c r="F49">
        <v>20</v>
      </c>
      <c r="G49" t="s">
        <v>452</v>
      </c>
      <c r="H49" t="s">
        <v>450</v>
      </c>
    </row>
    <row r="50" spans="1:8" x14ac:dyDescent="0.15">
      <c r="A50">
        <v>49</v>
      </c>
      <c r="B50" t="s">
        <v>454</v>
      </c>
      <c r="C50">
        <v>2000</v>
      </c>
      <c r="D50">
        <v>7000</v>
      </c>
      <c r="E50">
        <v>3500</v>
      </c>
      <c r="F50">
        <v>19</v>
      </c>
      <c r="G50" t="s">
        <v>452</v>
      </c>
      <c r="H50" t="s">
        <v>450</v>
      </c>
    </row>
    <row r="51" spans="1:8" x14ac:dyDescent="0.15">
      <c r="A51">
        <v>50</v>
      </c>
      <c r="B51" t="s">
        <v>454</v>
      </c>
      <c r="C51">
        <v>1000</v>
      </c>
      <c r="D51">
        <v>2200</v>
      </c>
      <c r="E51">
        <v>4500</v>
      </c>
      <c r="F51">
        <v>18</v>
      </c>
      <c r="G51" t="s">
        <v>452</v>
      </c>
      <c r="H51" t="s">
        <v>450</v>
      </c>
    </row>
    <row r="52" spans="1:8" x14ac:dyDescent="0.15">
      <c r="A52">
        <v>51</v>
      </c>
      <c r="B52" t="s">
        <v>427</v>
      </c>
      <c r="C52">
        <v>1500</v>
      </c>
      <c r="D52">
        <v>1200</v>
      </c>
      <c r="E52">
        <v>5500</v>
      </c>
      <c r="F52">
        <v>6</v>
      </c>
      <c r="G52" t="s">
        <v>452</v>
      </c>
      <c r="H52" t="s">
        <v>450</v>
      </c>
    </row>
    <row r="53" spans="1:8" x14ac:dyDescent="0.15">
      <c r="A53">
        <v>52</v>
      </c>
      <c r="B53" t="s">
        <v>454</v>
      </c>
      <c r="C53">
        <v>2000</v>
      </c>
      <c r="D53">
        <v>6499</v>
      </c>
      <c r="E53">
        <v>7999</v>
      </c>
      <c r="F53">
        <v>18</v>
      </c>
      <c r="G53" t="s">
        <v>448</v>
      </c>
      <c r="H53" t="s">
        <v>451</v>
      </c>
    </row>
    <row r="54" spans="1:8" x14ac:dyDescent="0.15">
      <c r="A54">
        <v>53</v>
      </c>
      <c r="B54" t="s">
        <v>454</v>
      </c>
      <c r="C54">
        <v>2000</v>
      </c>
      <c r="D54">
        <v>8700</v>
      </c>
      <c r="E54">
        <v>9300</v>
      </c>
      <c r="F54">
        <v>26</v>
      </c>
      <c r="G54" t="s">
        <v>448</v>
      </c>
      <c r="H54" t="s">
        <v>451</v>
      </c>
    </row>
    <row r="55" spans="1:8" x14ac:dyDescent="0.15">
      <c r="A55">
        <v>54</v>
      </c>
      <c r="B55" t="s">
        <v>454</v>
      </c>
      <c r="C55">
        <v>4000</v>
      </c>
      <c r="D55">
        <v>3599</v>
      </c>
      <c r="E55">
        <v>4099</v>
      </c>
      <c r="F55">
        <v>36</v>
      </c>
      <c r="G55" t="s">
        <v>452</v>
      </c>
      <c r="H55" t="s">
        <v>450</v>
      </c>
    </row>
    <row r="56" spans="1:8" x14ac:dyDescent="0.15">
      <c r="A56">
        <v>55</v>
      </c>
      <c r="B56" t="s">
        <v>454</v>
      </c>
      <c r="C56">
        <v>32679</v>
      </c>
      <c r="D56">
        <v>3105</v>
      </c>
      <c r="E56">
        <v>4200</v>
      </c>
      <c r="F56">
        <v>12</v>
      </c>
      <c r="G56" t="s">
        <v>452</v>
      </c>
      <c r="H56" t="s">
        <v>450</v>
      </c>
    </row>
    <row r="57" spans="1:8" x14ac:dyDescent="0.15">
      <c r="A57">
        <v>56</v>
      </c>
      <c r="B57" t="s">
        <v>454</v>
      </c>
      <c r="C57">
        <v>2200</v>
      </c>
      <c r="D57">
        <v>6000</v>
      </c>
      <c r="E57">
        <v>6000</v>
      </c>
      <c r="F57">
        <v>18</v>
      </c>
      <c r="G57" t="s">
        <v>452</v>
      </c>
      <c r="H57" t="s">
        <v>450</v>
      </c>
    </row>
    <row r="58" spans="1:8" x14ac:dyDescent="0.15">
      <c r="A58">
        <v>57</v>
      </c>
      <c r="B58" t="s">
        <v>454</v>
      </c>
      <c r="C58">
        <v>2000</v>
      </c>
      <c r="D58">
        <v>1200</v>
      </c>
      <c r="E58">
        <v>2900</v>
      </c>
      <c r="F58">
        <v>10</v>
      </c>
      <c r="G58" t="s">
        <v>452</v>
      </c>
      <c r="H58" t="s">
        <v>450</v>
      </c>
    </row>
    <row r="59" spans="1:8" x14ac:dyDescent="0.15">
      <c r="A59">
        <v>58</v>
      </c>
      <c r="B59" t="s">
        <v>454</v>
      </c>
      <c r="C59">
        <v>1500</v>
      </c>
      <c r="D59">
        <v>2200</v>
      </c>
      <c r="E59">
        <v>4600</v>
      </c>
      <c r="F59">
        <v>6</v>
      </c>
      <c r="G59" t="s">
        <v>452</v>
      </c>
      <c r="H59" t="s">
        <v>450</v>
      </c>
    </row>
    <row r="60" spans="1:8" x14ac:dyDescent="0.15">
      <c r="A60">
        <v>59</v>
      </c>
      <c r="B60" t="s">
        <v>454</v>
      </c>
      <c r="C60">
        <v>1800</v>
      </c>
      <c r="D60">
        <v>2100</v>
      </c>
      <c r="E60">
        <v>3197</v>
      </c>
      <c r="F60">
        <v>19</v>
      </c>
      <c r="G60" t="s">
        <v>452</v>
      </c>
      <c r="H60" t="s">
        <v>449</v>
      </c>
    </row>
    <row r="61" spans="1:8" x14ac:dyDescent="0.15">
      <c r="A61">
        <v>60</v>
      </c>
      <c r="B61" t="s">
        <v>454</v>
      </c>
      <c r="C61">
        <v>2300</v>
      </c>
      <c r="D61">
        <v>7000</v>
      </c>
      <c r="E61">
        <v>4000</v>
      </c>
      <c r="F61">
        <v>20</v>
      </c>
      <c r="G61" t="s">
        <v>452</v>
      </c>
      <c r="H61" t="s">
        <v>450</v>
      </c>
    </row>
    <row r="62" spans="1:8" x14ac:dyDescent="0.15">
      <c r="A62">
        <v>61</v>
      </c>
      <c r="B62" t="s">
        <v>454</v>
      </c>
      <c r="C62">
        <v>2500</v>
      </c>
      <c r="D62">
        <v>7999</v>
      </c>
      <c r="E62">
        <v>3999</v>
      </c>
      <c r="F62">
        <v>36</v>
      </c>
      <c r="G62" t="s">
        <v>452</v>
      </c>
      <c r="H62" t="s">
        <v>450</v>
      </c>
    </row>
    <row r="63" spans="1:8" x14ac:dyDescent="0.15">
      <c r="A63">
        <v>62</v>
      </c>
      <c r="B63" t="s">
        <v>454</v>
      </c>
      <c r="C63">
        <v>1600</v>
      </c>
      <c r="D63">
        <v>3900</v>
      </c>
      <c r="E63">
        <v>6000</v>
      </c>
      <c r="F63">
        <v>13</v>
      </c>
      <c r="G63" t="s">
        <v>452</v>
      </c>
      <c r="H63" t="s">
        <v>451</v>
      </c>
    </row>
    <row r="64" spans="1:8" x14ac:dyDescent="0.15">
      <c r="A64">
        <v>63</v>
      </c>
      <c r="B64" t="s">
        <v>454</v>
      </c>
      <c r="C64">
        <v>2000</v>
      </c>
      <c r="D64">
        <v>7000</v>
      </c>
      <c r="E64">
        <v>8000</v>
      </c>
      <c r="F64">
        <v>24</v>
      </c>
      <c r="G64" t="s">
        <v>452</v>
      </c>
      <c r="H64" t="s">
        <v>449</v>
      </c>
    </row>
    <row r="65" spans="1:8" x14ac:dyDescent="0.15">
      <c r="A65">
        <v>64</v>
      </c>
      <c r="B65" t="s">
        <v>454</v>
      </c>
      <c r="C65">
        <v>1800</v>
      </c>
      <c r="D65">
        <v>2600</v>
      </c>
      <c r="E65">
        <v>10000</v>
      </c>
      <c r="F65">
        <v>24</v>
      </c>
      <c r="G65" t="s">
        <v>448</v>
      </c>
      <c r="H65" t="s">
        <v>450</v>
      </c>
    </row>
    <row r="66" spans="1:8" x14ac:dyDescent="0.15">
      <c r="A66">
        <v>65</v>
      </c>
      <c r="B66" t="s">
        <v>454</v>
      </c>
      <c r="C66">
        <v>1800</v>
      </c>
      <c r="D66">
        <v>4500</v>
      </c>
      <c r="E66">
        <v>5500</v>
      </c>
      <c r="F66">
        <v>14</v>
      </c>
      <c r="G66" t="s">
        <v>452</v>
      </c>
      <c r="H66" t="s">
        <v>450</v>
      </c>
    </row>
    <row r="67" spans="1:8" x14ac:dyDescent="0.15">
      <c r="A67">
        <v>66</v>
      </c>
      <c r="B67" t="s">
        <v>454</v>
      </c>
      <c r="C67">
        <v>1600</v>
      </c>
      <c r="D67">
        <v>1700</v>
      </c>
      <c r="E67">
        <v>1800</v>
      </c>
      <c r="F67">
        <v>16</v>
      </c>
      <c r="G67" t="s">
        <v>452</v>
      </c>
      <c r="H67" t="s">
        <v>450</v>
      </c>
    </row>
    <row r="68" spans="1:8" x14ac:dyDescent="0.15">
      <c r="A68">
        <v>67</v>
      </c>
      <c r="B68" t="s">
        <v>427</v>
      </c>
      <c r="C68">
        <v>2200</v>
      </c>
      <c r="D68">
        <v>2400</v>
      </c>
      <c r="E68">
        <v>8500</v>
      </c>
      <c r="F68">
        <v>16</v>
      </c>
      <c r="G68" t="s">
        <v>448</v>
      </c>
      <c r="H68" t="s">
        <v>450</v>
      </c>
    </row>
    <row r="69" spans="1:8" x14ac:dyDescent="0.15">
      <c r="A69">
        <v>68</v>
      </c>
      <c r="B69" t="s">
        <v>454</v>
      </c>
      <c r="C69">
        <v>2500</v>
      </c>
      <c r="D69">
        <v>5299</v>
      </c>
      <c r="E69">
        <v>9600</v>
      </c>
      <c r="F69">
        <v>21</v>
      </c>
      <c r="G69" t="s">
        <v>452</v>
      </c>
      <c r="H69" t="s">
        <v>453</v>
      </c>
    </row>
    <row r="70" spans="1:8" x14ac:dyDescent="0.15">
      <c r="A70">
        <v>69</v>
      </c>
      <c r="B70" t="s">
        <v>454</v>
      </c>
      <c r="C70">
        <v>1500</v>
      </c>
      <c r="D70">
        <v>2300</v>
      </c>
      <c r="E70">
        <v>3000</v>
      </c>
      <c r="F70">
        <v>18</v>
      </c>
      <c r="G70" t="s">
        <v>452</v>
      </c>
      <c r="H70" t="s">
        <v>450</v>
      </c>
    </row>
    <row r="71" spans="1:8" x14ac:dyDescent="0.15">
      <c r="A71">
        <v>70</v>
      </c>
      <c r="B71" t="s">
        <v>454</v>
      </c>
      <c r="C71">
        <v>1000</v>
      </c>
      <c r="D71">
        <v>3499</v>
      </c>
      <c r="E71">
        <v>4400</v>
      </c>
      <c r="F71">
        <v>18</v>
      </c>
      <c r="G71" t="s">
        <v>452</v>
      </c>
      <c r="H71" t="s">
        <v>450</v>
      </c>
    </row>
    <row r="72" spans="1:8" x14ac:dyDescent="0.15">
      <c r="A72">
        <v>71</v>
      </c>
      <c r="B72" t="s">
        <v>454</v>
      </c>
      <c r="C72">
        <v>800</v>
      </c>
      <c r="D72">
        <v>5499</v>
      </c>
      <c r="E72">
        <v>8999</v>
      </c>
      <c r="F72">
        <v>14</v>
      </c>
      <c r="G72" t="s">
        <v>452</v>
      </c>
      <c r="H72" t="s">
        <v>450</v>
      </c>
    </row>
    <row r="73" spans="1:8" x14ac:dyDescent="0.15">
      <c r="A73">
        <v>72</v>
      </c>
      <c r="B73" t="s">
        <v>454</v>
      </c>
      <c r="C73">
        <v>1500</v>
      </c>
      <c r="D73">
        <v>6000</v>
      </c>
      <c r="E73">
        <v>6000</v>
      </c>
      <c r="F73">
        <v>12</v>
      </c>
      <c r="G73" t="s">
        <v>452</v>
      </c>
      <c r="H73" t="s">
        <v>449</v>
      </c>
    </row>
    <row r="74" spans="1:8" x14ac:dyDescent="0.15">
      <c r="A74">
        <v>73</v>
      </c>
      <c r="B74" t="s">
        <v>454</v>
      </c>
      <c r="C74">
        <v>1500</v>
      </c>
      <c r="D74">
        <v>1800</v>
      </c>
      <c r="E74">
        <v>0</v>
      </c>
      <c r="F74">
        <v>0</v>
      </c>
      <c r="G74" t="s">
        <v>452</v>
      </c>
      <c r="H74" t="s">
        <v>450</v>
      </c>
    </row>
    <row r="75" spans="1:8" x14ac:dyDescent="0.15">
      <c r="A75">
        <v>74</v>
      </c>
      <c r="B75" t="s">
        <v>427</v>
      </c>
      <c r="C75">
        <v>1500</v>
      </c>
      <c r="D75">
        <v>1600</v>
      </c>
      <c r="E75">
        <v>6500</v>
      </c>
      <c r="F75">
        <v>15</v>
      </c>
      <c r="G75" t="s">
        <v>448</v>
      </c>
      <c r="H75" t="s">
        <v>451</v>
      </c>
    </row>
    <row r="76" spans="1:8" x14ac:dyDescent="0.15">
      <c r="A76">
        <v>75</v>
      </c>
      <c r="B76" t="s">
        <v>454</v>
      </c>
      <c r="C76">
        <v>2000</v>
      </c>
      <c r="D76">
        <v>5500</v>
      </c>
      <c r="E76">
        <v>5000</v>
      </c>
      <c r="F76">
        <v>18</v>
      </c>
      <c r="G76" t="s">
        <v>452</v>
      </c>
      <c r="H76" t="s">
        <v>450</v>
      </c>
    </row>
    <row r="77" spans="1:8" x14ac:dyDescent="0.15">
      <c r="A77">
        <v>76</v>
      </c>
      <c r="B77" t="s">
        <v>454</v>
      </c>
      <c r="C77">
        <v>10000</v>
      </c>
      <c r="D77">
        <v>1700</v>
      </c>
      <c r="E77">
        <v>4900</v>
      </c>
      <c r="F77">
        <v>19</v>
      </c>
      <c r="G77" t="s">
        <v>452</v>
      </c>
      <c r="H77" t="s">
        <v>449</v>
      </c>
    </row>
    <row r="78" spans="1:8" x14ac:dyDescent="0.15">
      <c r="A78">
        <v>77</v>
      </c>
      <c r="B78" t="s">
        <v>454</v>
      </c>
      <c r="C78">
        <v>2700</v>
      </c>
      <c r="D78">
        <v>5800</v>
      </c>
      <c r="E78">
        <v>5400</v>
      </c>
      <c r="F78">
        <v>30</v>
      </c>
      <c r="G78" t="s">
        <v>452</v>
      </c>
      <c r="H78" t="s">
        <v>453</v>
      </c>
    </row>
    <row r="79" spans="1:8" x14ac:dyDescent="0.15">
      <c r="A79">
        <v>78</v>
      </c>
      <c r="B79" t="s">
        <v>454</v>
      </c>
      <c r="C79">
        <v>1500</v>
      </c>
      <c r="D79">
        <v>5000</v>
      </c>
      <c r="E79">
        <v>5000</v>
      </c>
      <c r="F79">
        <v>12</v>
      </c>
      <c r="G79" t="s">
        <v>452</v>
      </c>
      <c r="H79" t="s">
        <v>450</v>
      </c>
    </row>
    <row r="80" spans="1:8" x14ac:dyDescent="0.15">
      <c r="A80">
        <v>79</v>
      </c>
      <c r="B80" t="s">
        <v>454</v>
      </c>
      <c r="C80">
        <v>2500</v>
      </c>
      <c r="D80">
        <v>6999</v>
      </c>
      <c r="E80">
        <v>7688</v>
      </c>
      <c r="F80">
        <v>12</v>
      </c>
      <c r="G80" t="s">
        <v>448</v>
      </c>
      <c r="H80" t="s">
        <v>450</v>
      </c>
    </row>
    <row r="81" spans="1:8" x14ac:dyDescent="0.15">
      <c r="A81">
        <v>80</v>
      </c>
      <c r="B81" t="s">
        <v>454</v>
      </c>
      <c r="C81">
        <v>1500</v>
      </c>
      <c r="D81">
        <v>2500</v>
      </c>
      <c r="E81">
        <v>3800</v>
      </c>
      <c r="F81">
        <v>12</v>
      </c>
      <c r="G81" t="s">
        <v>452</v>
      </c>
      <c r="H81" t="s">
        <v>450</v>
      </c>
    </row>
    <row r="82" spans="1:8" x14ac:dyDescent="0.15">
      <c r="A82">
        <v>81</v>
      </c>
      <c r="B82" t="s">
        <v>454</v>
      </c>
      <c r="C82">
        <v>1500</v>
      </c>
      <c r="D82">
        <v>2000</v>
      </c>
      <c r="E82">
        <v>2000</v>
      </c>
      <c r="F82">
        <v>24</v>
      </c>
      <c r="G82" t="s">
        <v>452</v>
      </c>
      <c r="H82" t="s">
        <v>449</v>
      </c>
    </row>
    <row r="83" spans="1:8" x14ac:dyDescent="0.15">
      <c r="A83">
        <v>82</v>
      </c>
      <c r="B83" t="s">
        <v>454</v>
      </c>
      <c r="C83">
        <v>2700</v>
      </c>
      <c r="D83">
        <v>6999</v>
      </c>
      <c r="E83">
        <v>4988</v>
      </c>
      <c r="F83">
        <v>18</v>
      </c>
      <c r="G83" t="s">
        <v>452</v>
      </c>
      <c r="H83" t="s">
        <v>450</v>
      </c>
    </row>
    <row r="84" spans="1:8" x14ac:dyDescent="0.15">
      <c r="A84">
        <v>83</v>
      </c>
      <c r="B84" t="s">
        <v>454</v>
      </c>
      <c r="C84">
        <v>2000</v>
      </c>
      <c r="D84">
        <v>3000</v>
      </c>
      <c r="E84">
        <v>4000</v>
      </c>
      <c r="F84">
        <v>18</v>
      </c>
      <c r="G84" t="s">
        <v>452</v>
      </c>
      <c r="H84" t="s">
        <v>449</v>
      </c>
    </row>
    <row r="85" spans="1:8" x14ac:dyDescent="0.15">
      <c r="A85">
        <v>84</v>
      </c>
      <c r="B85" t="s">
        <v>454</v>
      </c>
      <c r="C85">
        <v>2000</v>
      </c>
      <c r="D85">
        <v>8900</v>
      </c>
      <c r="E85">
        <v>5000</v>
      </c>
      <c r="F85">
        <v>18</v>
      </c>
      <c r="G85" t="s">
        <v>452</v>
      </c>
      <c r="H85" t="s">
        <v>450</v>
      </c>
    </row>
    <row r="86" spans="1:8" x14ac:dyDescent="0.15">
      <c r="A86">
        <v>85</v>
      </c>
      <c r="B86" t="s">
        <v>454</v>
      </c>
      <c r="C86">
        <v>2400</v>
      </c>
      <c r="D86">
        <v>4200</v>
      </c>
      <c r="E86">
        <v>8000</v>
      </c>
      <c r="F86">
        <v>36</v>
      </c>
      <c r="G86" t="s">
        <v>448</v>
      </c>
      <c r="H86" t="s">
        <v>451</v>
      </c>
    </row>
    <row r="87" spans="1:8" x14ac:dyDescent="0.15">
      <c r="A87">
        <v>86</v>
      </c>
      <c r="B87" t="s">
        <v>454</v>
      </c>
      <c r="C87">
        <v>2300</v>
      </c>
      <c r="D87">
        <v>1600</v>
      </c>
      <c r="E87">
        <v>3600</v>
      </c>
      <c r="F87">
        <v>48</v>
      </c>
      <c r="G87" t="s">
        <v>448</v>
      </c>
      <c r="H87" t="s">
        <v>449</v>
      </c>
    </row>
    <row r="88" spans="1:8" x14ac:dyDescent="0.15">
      <c r="A88">
        <v>87</v>
      </c>
      <c r="B88" t="s">
        <v>454</v>
      </c>
      <c r="C88">
        <v>1300</v>
      </c>
      <c r="D88">
        <v>3300</v>
      </c>
      <c r="E88">
        <v>2300</v>
      </c>
      <c r="F88">
        <v>6</v>
      </c>
      <c r="G88" t="s">
        <v>448</v>
      </c>
      <c r="H88" t="s">
        <v>450</v>
      </c>
    </row>
    <row r="89" spans="1:8" x14ac:dyDescent="0.15">
      <c r="A89">
        <v>88</v>
      </c>
      <c r="B89" t="s">
        <v>454</v>
      </c>
      <c r="C89">
        <v>2300</v>
      </c>
      <c r="D89">
        <v>5100</v>
      </c>
      <c r="E89">
        <v>3800</v>
      </c>
      <c r="F89">
        <v>17</v>
      </c>
      <c r="G89" t="s">
        <v>452</v>
      </c>
      <c r="H89" t="s">
        <v>450</v>
      </c>
    </row>
    <row r="90" spans="1:8" x14ac:dyDescent="0.15">
      <c r="A90">
        <v>89</v>
      </c>
      <c r="B90" t="s">
        <v>454</v>
      </c>
      <c r="C90">
        <v>2000</v>
      </c>
      <c r="D90">
        <v>2500</v>
      </c>
      <c r="E90">
        <v>4400</v>
      </c>
      <c r="F90">
        <v>15</v>
      </c>
      <c r="G90" t="s">
        <v>452</v>
      </c>
      <c r="H90" t="s">
        <v>450</v>
      </c>
    </row>
    <row r="91" spans="1:8" x14ac:dyDescent="0.15">
      <c r="A91">
        <v>90</v>
      </c>
      <c r="B91" t="s">
        <v>454</v>
      </c>
      <c r="C91">
        <v>2500</v>
      </c>
      <c r="D91">
        <v>1400</v>
      </c>
      <c r="E91">
        <v>2900</v>
      </c>
      <c r="F91">
        <v>24</v>
      </c>
      <c r="G91" t="s">
        <v>452</v>
      </c>
      <c r="H91" t="s">
        <v>450</v>
      </c>
    </row>
    <row r="92" spans="1:8" x14ac:dyDescent="0.15">
      <c r="A92">
        <v>91</v>
      </c>
      <c r="B92" t="s">
        <v>454</v>
      </c>
      <c r="C92">
        <v>2100</v>
      </c>
      <c r="D92">
        <v>3000</v>
      </c>
      <c r="E92">
        <v>5000</v>
      </c>
      <c r="F92">
        <v>19</v>
      </c>
      <c r="G92" t="s">
        <v>452</v>
      </c>
      <c r="H92" t="s">
        <v>450</v>
      </c>
    </row>
    <row r="93" spans="1:8" x14ac:dyDescent="0.15">
      <c r="A93">
        <v>92</v>
      </c>
      <c r="B93" t="s">
        <v>454</v>
      </c>
      <c r="C93">
        <v>1800</v>
      </c>
      <c r="D93">
        <v>6100</v>
      </c>
      <c r="E93">
        <v>3000</v>
      </c>
      <c r="F93">
        <v>48</v>
      </c>
      <c r="G93" t="s">
        <v>452</v>
      </c>
      <c r="H93" t="s">
        <v>450</v>
      </c>
    </row>
    <row r="94" spans="1:8" x14ac:dyDescent="0.15">
      <c r="A94">
        <v>93</v>
      </c>
      <c r="B94" t="s">
        <v>454</v>
      </c>
      <c r="C94">
        <v>1500</v>
      </c>
      <c r="D94">
        <v>1500</v>
      </c>
      <c r="E94">
        <v>2300</v>
      </c>
      <c r="F94">
        <v>20</v>
      </c>
      <c r="G94" t="s">
        <v>452</v>
      </c>
      <c r="H94" t="s">
        <v>449</v>
      </c>
    </row>
    <row r="95" spans="1:8" x14ac:dyDescent="0.15">
      <c r="A95">
        <v>94</v>
      </c>
      <c r="B95" t="s">
        <v>454</v>
      </c>
      <c r="C95">
        <v>1500</v>
      </c>
      <c r="D95">
        <v>9000</v>
      </c>
      <c r="E95">
        <v>5000</v>
      </c>
      <c r="F95">
        <v>9</v>
      </c>
      <c r="G95" t="s">
        <v>448</v>
      </c>
      <c r="H95" t="s">
        <v>449</v>
      </c>
    </row>
    <row r="96" spans="1:8" x14ac:dyDescent="0.15">
      <c r="A96">
        <v>95</v>
      </c>
      <c r="B96" t="s">
        <v>454</v>
      </c>
      <c r="C96">
        <v>1700</v>
      </c>
      <c r="D96">
        <v>2900</v>
      </c>
      <c r="E96">
        <v>3700</v>
      </c>
      <c r="F96">
        <v>6</v>
      </c>
      <c r="G96" t="s">
        <v>452</v>
      </c>
      <c r="H96" t="s">
        <v>450</v>
      </c>
    </row>
    <row r="97" spans="1:8" x14ac:dyDescent="0.15">
      <c r="A97">
        <v>96</v>
      </c>
      <c r="B97" t="s">
        <v>454</v>
      </c>
      <c r="C97">
        <v>18800</v>
      </c>
      <c r="D97">
        <v>4900</v>
      </c>
      <c r="E97">
        <v>6500</v>
      </c>
      <c r="F97">
        <v>24</v>
      </c>
      <c r="G97" t="s">
        <v>452</v>
      </c>
      <c r="H97" t="s">
        <v>450</v>
      </c>
    </row>
    <row r="98" spans="1:8" x14ac:dyDescent="0.15">
      <c r="A98">
        <v>97</v>
      </c>
      <c r="B98" t="s">
        <v>454</v>
      </c>
      <c r="C98">
        <v>2000</v>
      </c>
      <c r="D98">
        <v>3300</v>
      </c>
      <c r="E98">
        <v>5500</v>
      </c>
      <c r="F98">
        <v>24</v>
      </c>
      <c r="G98" t="s">
        <v>448</v>
      </c>
      <c r="H98" t="s">
        <v>450</v>
      </c>
    </row>
    <row r="99" spans="1:8" x14ac:dyDescent="0.15">
      <c r="A99">
        <v>98</v>
      </c>
      <c r="B99" t="s">
        <v>454</v>
      </c>
      <c r="C99">
        <v>1500</v>
      </c>
      <c r="D99">
        <v>12999</v>
      </c>
      <c r="E99">
        <v>3000</v>
      </c>
      <c r="F99">
        <v>18</v>
      </c>
      <c r="G99" t="s">
        <v>448</v>
      </c>
      <c r="H99" t="s">
        <v>450</v>
      </c>
    </row>
    <row r="100" spans="1:8" x14ac:dyDescent="0.15">
      <c r="A100">
        <v>99</v>
      </c>
      <c r="B100" t="s">
        <v>454</v>
      </c>
      <c r="C100">
        <v>1000</v>
      </c>
      <c r="D100">
        <v>2600</v>
      </c>
      <c r="E100">
        <v>4299</v>
      </c>
      <c r="F100">
        <v>5</v>
      </c>
      <c r="G100" t="s">
        <v>452</v>
      </c>
      <c r="H100" t="s">
        <v>450</v>
      </c>
    </row>
    <row r="101" spans="1:8" x14ac:dyDescent="0.15">
      <c r="A101">
        <v>100</v>
      </c>
      <c r="B101" t="s">
        <v>454</v>
      </c>
      <c r="C101">
        <v>1500</v>
      </c>
      <c r="D101">
        <v>2700</v>
      </c>
      <c r="E101">
        <v>3200</v>
      </c>
      <c r="F101">
        <v>18</v>
      </c>
      <c r="G101" t="s">
        <v>452</v>
      </c>
      <c r="H101" t="s">
        <v>450</v>
      </c>
    </row>
    <row r="102" spans="1:8" x14ac:dyDescent="0.15">
      <c r="A102">
        <v>101</v>
      </c>
      <c r="B102" t="s">
        <v>454</v>
      </c>
      <c r="C102">
        <v>1600</v>
      </c>
      <c r="D102">
        <v>6000</v>
      </c>
      <c r="E102">
        <v>7000</v>
      </c>
      <c r="F102">
        <v>20</v>
      </c>
      <c r="G102" t="s">
        <v>452</v>
      </c>
      <c r="H102" t="s">
        <v>450</v>
      </c>
    </row>
    <row r="103" spans="1:8" x14ac:dyDescent="0.15">
      <c r="A103">
        <v>102</v>
      </c>
      <c r="B103" t="s">
        <v>427</v>
      </c>
      <c r="C103">
        <v>2200</v>
      </c>
      <c r="D103">
        <v>4000</v>
      </c>
      <c r="E103">
        <v>8000</v>
      </c>
      <c r="F103">
        <v>6</v>
      </c>
      <c r="G103" t="s">
        <v>452</v>
      </c>
      <c r="H103" t="s">
        <v>450</v>
      </c>
    </row>
    <row r="104" spans="1:8" x14ac:dyDescent="0.15">
      <c r="A104">
        <v>103</v>
      </c>
      <c r="B104" t="s">
        <v>427</v>
      </c>
      <c r="C104">
        <v>1511</v>
      </c>
      <c r="D104">
        <v>6115</v>
      </c>
      <c r="E104">
        <v>6715</v>
      </c>
      <c r="F104">
        <v>18</v>
      </c>
      <c r="G104" t="s">
        <v>448</v>
      </c>
      <c r="H104" t="s">
        <v>453</v>
      </c>
    </row>
    <row r="105" spans="1:8" x14ac:dyDescent="0.15">
      <c r="A105">
        <v>104</v>
      </c>
      <c r="B105" t="s">
        <v>427</v>
      </c>
      <c r="C105">
        <v>1500</v>
      </c>
      <c r="D105">
        <v>1614</v>
      </c>
      <c r="E105">
        <v>2599</v>
      </c>
      <c r="F105">
        <v>13</v>
      </c>
      <c r="G105" t="s">
        <v>452</v>
      </c>
      <c r="H105" t="s">
        <v>449</v>
      </c>
    </row>
    <row r="106" spans="1:8" x14ac:dyDescent="0.15">
      <c r="A106">
        <v>105</v>
      </c>
      <c r="B106" t="s">
        <v>454</v>
      </c>
      <c r="C106">
        <v>2500</v>
      </c>
      <c r="D106">
        <v>7799</v>
      </c>
      <c r="E106">
        <v>8599</v>
      </c>
      <c r="F106">
        <v>8</v>
      </c>
      <c r="G106" t="s">
        <v>448</v>
      </c>
      <c r="H106" t="s">
        <v>453</v>
      </c>
    </row>
    <row r="107" spans="1:8" x14ac:dyDescent="0.15">
      <c r="A107">
        <v>106</v>
      </c>
      <c r="B107" t="s">
        <v>454</v>
      </c>
      <c r="C107">
        <v>2500</v>
      </c>
      <c r="D107">
        <v>8100</v>
      </c>
      <c r="E107">
        <v>7200</v>
      </c>
      <c r="F107">
        <v>6</v>
      </c>
      <c r="G107" t="s">
        <v>452</v>
      </c>
      <c r="H107" t="s">
        <v>450</v>
      </c>
    </row>
    <row r="108" spans="1:8" x14ac:dyDescent="0.15">
      <c r="A108">
        <v>107</v>
      </c>
      <c r="B108" t="s">
        <v>427</v>
      </c>
      <c r="C108">
        <v>2200</v>
      </c>
      <c r="D108">
        <v>5800</v>
      </c>
      <c r="E108">
        <v>6000</v>
      </c>
      <c r="F108">
        <v>18</v>
      </c>
      <c r="G108" t="s">
        <v>452</v>
      </c>
      <c r="H108" t="s">
        <v>449</v>
      </c>
    </row>
    <row r="109" spans="1:8" x14ac:dyDescent="0.15">
      <c r="A109">
        <v>108</v>
      </c>
      <c r="B109" t="s">
        <v>427</v>
      </c>
      <c r="C109">
        <v>3000</v>
      </c>
      <c r="D109">
        <v>6000</v>
      </c>
      <c r="E109">
        <v>8000</v>
      </c>
      <c r="F109">
        <v>9</v>
      </c>
      <c r="G109" t="s">
        <v>448</v>
      </c>
      <c r="H109" t="s">
        <v>451</v>
      </c>
    </row>
    <row r="110" spans="1:8" x14ac:dyDescent="0.15">
      <c r="A110">
        <v>109</v>
      </c>
      <c r="B110" t="s">
        <v>454</v>
      </c>
      <c r="C110">
        <v>3000</v>
      </c>
      <c r="D110">
        <v>5000</v>
      </c>
      <c r="E110">
        <v>7000</v>
      </c>
      <c r="F110">
        <v>6</v>
      </c>
      <c r="G110" t="s">
        <v>452</v>
      </c>
      <c r="H110" t="s">
        <v>453</v>
      </c>
    </row>
    <row r="111" spans="1:8" x14ac:dyDescent="0.15">
      <c r="A111">
        <v>110</v>
      </c>
      <c r="B111" t="s">
        <v>454</v>
      </c>
      <c r="C111">
        <v>2000</v>
      </c>
      <c r="D111">
        <v>8600</v>
      </c>
      <c r="E111">
        <v>5000</v>
      </c>
      <c r="F111">
        <v>13</v>
      </c>
      <c r="G111" t="s">
        <v>452</v>
      </c>
      <c r="H111" t="s">
        <v>450</v>
      </c>
    </row>
    <row r="112" spans="1:8" x14ac:dyDescent="0.15">
      <c r="A112">
        <v>111</v>
      </c>
      <c r="B112" t="s">
        <v>454</v>
      </c>
      <c r="C112">
        <v>3500</v>
      </c>
      <c r="D112">
        <v>12000</v>
      </c>
      <c r="E112">
        <v>32000</v>
      </c>
      <c r="F112">
        <v>6</v>
      </c>
      <c r="G112" t="s">
        <v>452</v>
      </c>
      <c r="H112" t="s">
        <v>453</v>
      </c>
    </row>
    <row r="113" spans="1:8" x14ac:dyDescent="0.15">
      <c r="A113">
        <v>112</v>
      </c>
      <c r="B113" t="s">
        <v>454</v>
      </c>
      <c r="C113">
        <v>1900</v>
      </c>
      <c r="D113">
        <v>9999</v>
      </c>
      <c r="E113">
        <v>11999</v>
      </c>
      <c r="F113">
        <v>4</v>
      </c>
      <c r="G113" t="s">
        <v>448</v>
      </c>
      <c r="H113" t="s">
        <v>450</v>
      </c>
    </row>
    <row r="114" spans="1:8" x14ac:dyDescent="0.15">
      <c r="A114">
        <v>113</v>
      </c>
      <c r="B114" t="s">
        <v>454</v>
      </c>
      <c r="C114">
        <v>4000</v>
      </c>
      <c r="D114">
        <v>8699</v>
      </c>
      <c r="E114">
        <v>4500</v>
      </c>
      <c r="F114">
        <v>42</v>
      </c>
      <c r="G114" t="s">
        <v>452</v>
      </c>
      <c r="H114" t="s">
        <v>453</v>
      </c>
    </row>
    <row r="115" spans="1:8" x14ac:dyDescent="0.15">
      <c r="A115">
        <v>114</v>
      </c>
      <c r="B115" t="s">
        <v>454</v>
      </c>
      <c r="C115">
        <v>30000</v>
      </c>
      <c r="D115">
        <v>9000</v>
      </c>
      <c r="E115">
        <v>10000</v>
      </c>
      <c r="F115">
        <v>6</v>
      </c>
      <c r="G115" t="s">
        <v>452</v>
      </c>
      <c r="H115" t="s">
        <v>453</v>
      </c>
    </row>
    <row r="116" spans="1:8" x14ac:dyDescent="0.15">
      <c r="A116">
        <v>115</v>
      </c>
      <c r="B116" t="s">
        <v>454</v>
      </c>
      <c r="C116">
        <v>5000</v>
      </c>
      <c r="D116">
        <v>10000</v>
      </c>
      <c r="E116">
        <v>8000</v>
      </c>
      <c r="F116">
        <v>36</v>
      </c>
      <c r="G116" t="s">
        <v>452</v>
      </c>
      <c r="H116" t="s">
        <v>453</v>
      </c>
    </row>
    <row r="117" spans="1:8" x14ac:dyDescent="0.15">
      <c r="A117">
        <v>116</v>
      </c>
      <c r="B117" t="s">
        <v>454</v>
      </c>
      <c r="C117">
        <v>2500</v>
      </c>
      <c r="D117">
        <v>5500</v>
      </c>
      <c r="E117">
        <v>4500</v>
      </c>
      <c r="F117">
        <v>4</v>
      </c>
      <c r="G117" t="s">
        <v>452</v>
      </c>
      <c r="H117" t="s">
        <v>450</v>
      </c>
    </row>
    <row r="118" spans="1:8" x14ac:dyDescent="0.15">
      <c r="A118">
        <v>117</v>
      </c>
      <c r="B118" t="s">
        <v>454</v>
      </c>
      <c r="C118">
        <v>2500</v>
      </c>
      <c r="D118">
        <v>9299</v>
      </c>
      <c r="E118">
        <v>6255</v>
      </c>
      <c r="F118">
        <v>12</v>
      </c>
      <c r="G118" t="s">
        <v>452</v>
      </c>
      <c r="H118" t="s">
        <v>450</v>
      </c>
    </row>
    <row r="119" spans="1:8" x14ac:dyDescent="0.15">
      <c r="A119">
        <v>118</v>
      </c>
      <c r="B119" t="s">
        <v>454</v>
      </c>
      <c r="C119">
        <v>2500</v>
      </c>
      <c r="D119">
        <v>7600</v>
      </c>
      <c r="E119">
        <v>8500</v>
      </c>
      <c r="F119">
        <v>6</v>
      </c>
      <c r="G119" t="s">
        <v>448</v>
      </c>
      <c r="H119" t="s">
        <v>453</v>
      </c>
    </row>
    <row r="120" spans="1:8" x14ac:dyDescent="0.15">
      <c r="A120">
        <v>119</v>
      </c>
      <c r="B120" t="s">
        <v>454</v>
      </c>
      <c r="C120">
        <v>5500</v>
      </c>
      <c r="D120">
        <v>13999</v>
      </c>
      <c r="E120">
        <v>10000</v>
      </c>
      <c r="F120">
        <v>6</v>
      </c>
      <c r="G120" t="s">
        <v>452</v>
      </c>
      <c r="H120" t="s">
        <v>453</v>
      </c>
    </row>
    <row r="121" spans="1:8" x14ac:dyDescent="0.15">
      <c r="A121">
        <v>120</v>
      </c>
      <c r="B121" t="s">
        <v>454</v>
      </c>
      <c r="C121">
        <v>3500</v>
      </c>
      <c r="D121">
        <v>8000</v>
      </c>
      <c r="E121">
        <v>6000</v>
      </c>
      <c r="F121">
        <v>9</v>
      </c>
      <c r="G121" t="s">
        <v>452</v>
      </c>
      <c r="H121" t="s">
        <v>453</v>
      </c>
    </row>
    <row r="122" spans="1:8" x14ac:dyDescent="0.15">
      <c r="A122">
        <v>121</v>
      </c>
      <c r="B122" t="s">
        <v>427</v>
      </c>
      <c r="C122">
        <v>3000</v>
      </c>
      <c r="D122">
        <v>8999</v>
      </c>
      <c r="E122">
        <v>9599</v>
      </c>
      <c r="F122">
        <v>8</v>
      </c>
      <c r="G122" t="s">
        <v>448</v>
      </c>
      <c r="H122" t="s">
        <v>450</v>
      </c>
    </row>
    <row r="123" spans="1:8" x14ac:dyDescent="0.15">
      <c r="A123">
        <v>122</v>
      </c>
      <c r="B123" t="s">
        <v>454</v>
      </c>
      <c r="C123">
        <v>3000</v>
      </c>
      <c r="D123">
        <v>12000</v>
      </c>
      <c r="E123">
        <v>6399</v>
      </c>
      <c r="F123">
        <v>8</v>
      </c>
      <c r="G123" t="s">
        <v>452</v>
      </c>
      <c r="H123" t="s">
        <v>450</v>
      </c>
    </row>
    <row r="124" spans="1:8" x14ac:dyDescent="0.15">
      <c r="A124">
        <v>123</v>
      </c>
      <c r="B124" t="s">
        <v>454</v>
      </c>
      <c r="C124">
        <v>2500</v>
      </c>
      <c r="D124">
        <v>1500</v>
      </c>
      <c r="E124">
        <v>7699</v>
      </c>
      <c r="F124">
        <v>6</v>
      </c>
      <c r="G124" t="s">
        <v>452</v>
      </c>
      <c r="H124" t="s">
        <v>450</v>
      </c>
    </row>
    <row r="125" spans="1:8" x14ac:dyDescent="0.15">
      <c r="A125">
        <v>124</v>
      </c>
      <c r="B125" t="s">
        <v>427</v>
      </c>
      <c r="C125">
        <v>3000</v>
      </c>
      <c r="D125">
        <v>4000</v>
      </c>
      <c r="E125">
        <v>9000</v>
      </c>
      <c r="F125">
        <v>6</v>
      </c>
      <c r="G125" t="s">
        <v>448</v>
      </c>
      <c r="H125" t="s">
        <v>451</v>
      </c>
    </row>
    <row r="126" spans="1:8" x14ac:dyDescent="0.15">
      <c r="A126">
        <v>125</v>
      </c>
      <c r="B126" t="s">
        <v>454</v>
      </c>
      <c r="C126">
        <v>15000</v>
      </c>
      <c r="D126">
        <v>5100</v>
      </c>
      <c r="E126">
        <v>5300</v>
      </c>
      <c r="F126">
        <v>8</v>
      </c>
      <c r="G126" t="s">
        <v>452</v>
      </c>
      <c r="H126" t="s">
        <v>453</v>
      </c>
    </row>
    <row r="127" spans="1:8" x14ac:dyDescent="0.15">
      <c r="A127">
        <v>126</v>
      </c>
      <c r="B127" t="s">
        <v>454</v>
      </c>
      <c r="C127">
        <v>3000</v>
      </c>
      <c r="D127">
        <v>6900</v>
      </c>
      <c r="E127">
        <v>5600</v>
      </c>
      <c r="F127">
        <v>18</v>
      </c>
      <c r="G127" t="s">
        <v>452</v>
      </c>
      <c r="H127" t="s">
        <v>450</v>
      </c>
    </row>
    <row r="128" spans="1:8" x14ac:dyDescent="0.15">
      <c r="A128">
        <v>127</v>
      </c>
      <c r="B128" t="s">
        <v>427</v>
      </c>
      <c r="C128">
        <v>1500</v>
      </c>
      <c r="D128">
        <v>1208</v>
      </c>
      <c r="E128">
        <v>9900</v>
      </c>
      <c r="F128">
        <v>19</v>
      </c>
      <c r="G128" t="s">
        <v>452</v>
      </c>
      <c r="H128" t="s">
        <v>450</v>
      </c>
    </row>
    <row r="129" spans="1:8" x14ac:dyDescent="0.15">
      <c r="A129">
        <v>128</v>
      </c>
      <c r="B129" t="s">
        <v>454</v>
      </c>
      <c r="C129">
        <v>2500</v>
      </c>
      <c r="D129">
        <v>2999</v>
      </c>
      <c r="E129">
        <v>6600</v>
      </c>
      <c r="F129">
        <v>7</v>
      </c>
      <c r="G129" t="s">
        <v>448</v>
      </c>
      <c r="H129" t="s">
        <v>451</v>
      </c>
    </row>
    <row r="130" spans="1:8" x14ac:dyDescent="0.15">
      <c r="A130">
        <v>129</v>
      </c>
      <c r="B130" t="s">
        <v>427</v>
      </c>
      <c r="C130">
        <v>1500</v>
      </c>
      <c r="D130">
        <v>7999</v>
      </c>
      <c r="E130">
        <v>5600</v>
      </c>
      <c r="F130">
        <v>6</v>
      </c>
      <c r="G130" t="s">
        <v>448</v>
      </c>
      <c r="H130" t="s">
        <v>450</v>
      </c>
    </row>
    <row r="131" spans="1:8" x14ac:dyDescent="0.15">
      <c r="A131">
        <v>130</v>
      </c>
      <c r="B131" t="s">
        <v>454</v>
      </c>
      <c r="C131">
        <v>2000</v>
      </c>
      <c r="D131">
        <v>3200</v>
      </c>
      <c r="E131">
        <v>5500</v>
      </c>
      <c r="F131">
        <v>6</v>
      </c>
      <c r="G131" t="s">
        <v>452</v>
      </c>
      <c r="H131" t="s">
        <v>450</v>
      </c>
    </row>
    <row r="132" spans="1:8" x14ac:dyDescent="0.15">
      <c r="A132">
        <v>131</v>
      </c>
      <c r="B132" t="s">
        <v>454</v>
      </c>
      <c r="C132">
        <v>1500</v>
      </c>
      <c r="D132">
        <v>6000</v>
      </c>
      <c r="E132">
        <v>7500</v>
      </c>
      <c r="F132">
        <v>2</v>
      </c>
      <c r="G132" t="s">
        <v>448</v>
      </c>
      <c r="H132" t="s">
        <v>451</v>
      </c>
    </row>
    <row r="133" spans="1:8" x14ac:dyDescent="0.15">
      <c r="A133">
        <v>132</v>
      </c>
      <c r="B133" t="s">
        <v>454</v>
      </c>
      <c r="C133">
        <v>2500</v>
      </c>
      <c r="D133">
        <v>5999</v>
      </c>
      <c r="E133">
        <v>3599</v>
      </c>
      <c r="F133">
        <v>4</v>
      </c>
      <c r="G133" t="s">
        <v>452</v>
      </c>
      <c r="H133" t="s">
        <v>453</v>
      </c>
    </row>
    <row r="134" spans="1:8" x14ac:dyDescent="0.15">
      <c r="A134">
        <v>133</v>
      </c>
      <c r="B134" t="s">
        <v>427</v>
      </c>
      <c r="C134">
        <v>2400</v>
      </c>
      <c r="D134">
        <v>10000</v>
      </c>
      <c r="E134">
        <v>10000</v>
      </c>
      <c r="F134">
        <v>16</v>
      </c>
      <c r="G134" t="s">
        <v>448</v>
      </c>
      <c r="H134" t="s">
        <v>451</v>
      </c>
    </row>
    <row r="135" spans="1:8" x14ac:dyDescent="0.15">
      <c r="A135">
        <v>134</v>
      </c>
      <c r="B135" t="s">
        <v>427</v>
      </c>
      <c r="C135">
        <v>2200</v>
      </c>
      <c r="D135">
        <v>2600</v>
      </c>
      <c r="E135">
        <v>10000</v>
      </c>
      <c r="F135">
        <v>6</v>
      </c>
      <c r="G135" t="s">
        <v>448</v>
      </c>
      <c r="H135" t="s">
        <v>449</v>
      </c>
    </row>
    <row r="136" spans="1:8" x14ac:dyDescent="0.15">
      <c r="A136">
        <v>135</v>
      </c>
      <c r="B136" t="s">
        <v>454</v>
      </c>
      <c r="C136">
        <v>5500</v>
      </c>
      <c r="D136">
        <v>12500</v>
      </c>
      <c r="E136">
        <v>7500</v>
      </c>
      <c r="F136">
        <v>6</v>
      </c>
      <c r="G136" t="s">
        <v>452</v>
      </c>
      <c r="H136" t="s">
        <v>450</v>
      </c>
    </row>
    <row r="137" spans="1:8" x14ac:dyDescent="0.15">
      <c r="A137">
        <v>136</v>
      </c>
      <c r="B137" t="s">
        <v>427</v>
      </c>
      <c r="C137">
        <v>2500</v>
      </c>
      <c r="D137">
        <v>6099</v>
      </c>
      <c r="E137">
        <v>8999</v>
      </c>
      <c r="F137">
        <v>6</v>
      </c>
      <c r="G137" t="s">
        <v>448</v>
      </c>
      <c r="H137" t="s">
        <v>450</v>
      </c>
    </row>
    <row r="138" spans="1:8" x14ac:dyDescent="0.15">
      <c r="A138">
        <v>137</v>
      </c>
      <c r="B138" t="s">
        <v>427</v>
      </c>
      <c r="C138">
        <v>2000</v>
      </c>
      <c r="D138">
        <v>9900</v>
      </c>
      <c r="E138">
        <v>16900</v>
      </c>
      <c r="F138">
        <v>6</v>
      </c>
      <c r="G138" t="s">
        <v>448</v>
      </c>
      <c r="H138" t="s">
        <v>451</v>
      </c>
    </row>
    <row r="139" spans="1:8" x14ac:dyDescent="0.15">
      <c r="A139">
        <v>138</v>
      </c>
      <c r="B139" t="s">
        <v>454</v>
      </c>
      <c r="C139">
        <v>2200</v>
      </c>
      <c r="D139">
        <v>5999</v>
      </c>
      <c r="E139">
        <v>5200</v>
      </c>
      <c r="F139">
        <v>6</v>
      </c>
      <c r="G139" t="s">
        <v>452</v>
      </c>
      <c r="H139" t="s">
        <v>450</v>
      </c>
    </row>
    <row r="140" spans="1:8" x14ac:dyDescent="0.15">
      <c r="A140">
        <v>139</v>
      </c>
      <c r="B140" t="s">
        <v>454</v>
      </c>
      <c r="C140">
        <v>3000</v>
      </c>
      <c r="D140">
        <v>12800</v>
      </c>
      <c r="E140">
        <v>10800</v>
      </c>
      <c r="F140">
        <v>6</v>
      </c>
      <c r="G140" t="s">
        <v>452</v>
      </c>
      <c r="H140" t="s">
        <v>453</v>
      </c>
    </row>
    <row r="141" spans="1:8" x14ac:dyDescent="0.15">
      <c r="A141">
        <v>140</v>
      </c>
      <c r="B141" t="s">
        <v>454</v>
      </c>
      <c r="C141">
        <v>2500</v>
      </c>
      <c r="D141">
        <v>9799</v>
      </c>
      <c r="E141">
        <v>10500</v>
      </c>
      <c r="F141">
        <v>6</v>
      </c>
      <c r="G141" t="s">
        <v>452</v>
      </c>
      <c r="H141" t="s">
        <v>453</v>
      </c>
    </row>
    <row r="142" spans="1:8" x14ac:dyDescent="0.15">
      <c r="A142">
        <v>141</v>
      </c>
      <c r="B142" t="s">
        <v>454</v>
      </c>
      <c r="C142">
        <v>3500</v>
      </c>
      <c r="D142">
        <v>9999</v>
      </c>
      <c r="E142">
        <v>13000</v>
      </c>
      <c r="F142">
        <v>6</v>
      </c>
      <c r="G142" t="s">
        <v>448</v>
      </c>
      <c r="H142" t="s">
        <v>451</v>
      </c>
    </row>
    <row r="143" spans="1:8" x14ac:dyDescent="0.15">
      <c r="A143">
        <v>142</v>
      </c>
      <c r="B143" t="s">
        <v>454</v>
      </c>
      <c r="C143">
        <v>8000</v>
      </c>
      <c r="D143">
        <v>9000</v>
      </c>
      <c r="E143">
        <v>10000</v>
      </c>
      <c r="F143">
        <v>7</v>
      </c>
      <c r="G143" t="s">
        <v>452</v>
      </c>
      <c r="H143" t="s">
        <v>453</v>
      </c>
    </row>
    <row r="144" spans="1:8" x14ac:dyDescent="0.15">
      <c r="A144">
        <v>143</v>
      </c>
      <c r="B144" t="s">
        <v>454</v>
      </c>
      <c r="C144">
        <v>4200</v>
      </c>
      <c r="D144">
        <v>3500</v>
      </c>
      <c r="E144">
        <v>7500</v>
      </c>
      <c r="F144">
        <v>4</v>
      </c>
      <c r="G144" t="s">
        <v>448</v>
      </c>
      <c r="H144" t="s">
        <v>451</v>
      </c>
    </row>
    <row r="145" spans="1:8" x14ac:dyDescent="0.15">
      <c r="A145">
        <v>144</v>
      </c>
      <c r="B145" t="s">
        <v>454</v>
      </c>
      <c r="C145">
        <v>2000</v>
      </c>
      <c r="D145">
        <v>2900</v>
      </c>
      <c r="E145">
        <v>4800</v>
      </c>
      <c r="F145">
        <v>1</v>
      </c>
      <c r="G145" t="s">
        <v>452</v>
      </c>
      <c r="H145" t="s">
        <v>450</v>
      </c>
    </row>
    <row r="146" spans="1:8" x14ac:dyDescent="0.15">
      <c r="A146">
        <v>145</v>
      </c>
      <c r="B146" t="s">
        <v>427</v>
      </c>
      <c r="C146">
        <v>2000</v>
      </c>
      <c r="D146">
        <v>5000</v>
      </c>
      <c r="E146">
        <v>12000</v>
      </c>
      <c r="F146">
        <v>4</v>
      </c>
      <c r="G146" t="s">
        <v>448</v>
      </c>
      <c r="H146" t="s">
        <v>451</v>
      </c>
    </row>
    <row r="147" spans="1:8" x14ac:dyDescent="0.15">
      <c r="A147">
        <v>146</v>
      </c>
      <c r="B147" t="s">
        <v>427</v>
      </c>
      <c r="C147">
        <v>2200</v>
      </c>
      <c r="D147">
        <v>3400</v>
      </c>
      <c r="E147">
        <v>5500</v>
      </c>
      <c r="F147">
        <v>15</v>
      </c>
      <c r="G147" t="s">
        <v>452</v>
      </c>
      <c r="H147" t="s">
        <v>450</v>
      </c>
    </row>
    <row r="148" spans="1:8" x14ac:dyDescent="0.15">
      <c r="A148">
        <v>147</v>
      </c>
      <c r="B148" t="s">
        <v>454</v>
      </c>
      <c r="C148">
        <v>2000</v>
      </c>
      <c r="D148">
        <v>2200</v>
      </c>
      <c r="E148">
        <v>2300</v>
      </c>
      <c r="F148">
        <v>6</v>
      </c>
      <c r="G148" t="s">
        <v>448</v>
      </c>
      <c r="H148" t="s">
        <v>449</v>
      </c>
    </row>
    <row r="149" spans="1:8" x14ac:dyDescent="0.15">
      <c r="A149">
        <v>148</v>
      </c>
      <c r="B149" t="s">
        <v>454</v>
      </c>
      <c r="C149">
        <v>2500</v>
      </c>
      <c r="D149">
        <v>6000</v>
      </c>
      <c r="E149">
        <v>5679</v>
      </c>
      <c r="F149">
        <v>6</v>
      </c>
      <c r="G149" t="s">
        <v>452</v>
      </c>
      <c r="H149" t="s">
        <v>450</v>
      </c>
    </row>
    <row r="150" spans="1:8" x14ac:dyDescent="0.15">
      <c r="A150">
        <v>149</v>
      </c>
      <c r="B150" t="s">
        <v>454</v>
      </c>
      <c r="C150">
        <v>3000</v>
      </c>
      <c r="D150">
        <v>9000</v>
      </c>
      <c r="E150">
        <v>7400</v>
      </c>
      <c r="F150">
        <v>8</v>
      </c>
      <c r="G150" t="s">
        <v>452</v>
      </c>
      <c r="H150" t="s">
        <v>450</v>
      </c>
    </row>
    <row r="151" spans="1:8" x14ac:dyDescent="0.15">
      <c r="A151">
        <v>150</v>
      </c>
      <c r="B151" t="s">
        <v>427</v>
      </c>
      <c r="C151">
        <v>2000</v>
      </c>
      <c r="D151">
        <v>6800</v>
      </c>
      <c r="E151">
        <v>4800</v>
      </c>
      <c r="F151">
        <v>42</v>
      </c>
      <c r="G151" t="s">
        <v>452</v>
      </c>
      <c r="H151" t="s">
        <v>453</v>
      </c>
    </row>
    <row r="152" spans="1:8" x14ac:dyDescent="0.15">
      <c r="A152">
        <v>151</v>
      </c>
      <c r="B152" t="s">
        <v>454</v>
      </c>
      <c r="C152">
        <v>73600</v>
      </c>
      <c r="D152">
        <v>5000</v>
      </c>
      <c r="E152">
        <v>7600</v>
      </c>
      <c r="F152">
        <v>6</v>
      </c>
      <c r="G152" t="s">
        <v>452</v>
      </c>
      <c r="H152" t="s">
        <v>453</v>
      </c>
    </row>
    <row r="153" spans="1:8" x14ac:dyDescent="0.15">
      <c r="A153">
        <v>152</v>
      </c>
      <c r="B153" t="s">
        <v>454</v>
      </c>
      <c r="C153">
        <v>2500</v>
      </c>
      <c r="D153">
        <v>8999</v>
      </c>
      <c r="E153">
        <v>5899</v>
      </c>
      <c r="F153">
        <v>9</v>
      </c>
      <c r="G153" t="s">
        <v>452</v>
      </c>
      <c r="H153" t="s">
        <v>453</v>
      </c>
    </row>
    <row r="154" spans="1:8" x14ac:dyDescent="0.15">
      <c r="A154">
        <v>153</v>
      </c>
      <c r="B154" t="s">
        <v>454</v>
      </c>
      <c r="C154">
        <v>3000</v>
      </c>
      <c r="D154">
        <v>13999</v>
      </c>
      <c r="E154">
        <v>12499</v>
      </c>
      <c r="F154">
        <v>6</v>
      </c>
      <c r="G154" t="s">
        <v>452</v>
      </c>
      <c r="H154" t="s">
        <v>453</v>
      </c>
    </row>
    <row r="155" spans="1:8" x14ac:dyDescent="0.15">
      <c r="A155">
        <v>154</v>
      </c>
      <c r="B155" t="s">
        <v>454</v>
      </c>
      <c r="C155">
        <v>3500</v>
      </c>
      <c r="D155">
        <v>2500</v>
      </c>
      <c r="E155">
        <v>5500</v>
      </c>
      <c r="F155">
        <v>8</v>
      </c>
      <c r="G155" t="s">
        <v>452</v>
      </c>
      <c r="H155" t="s">
        <v>453</v>
      </c>
    </row>
    <row r="156" spans="1:8" x14ac:dyDescent="0.15">
      <c r="A156">
        <v>155</v>
      </c>
      <c r="B156" t="s">
        <v>454</v>
      </c>
      <c r="C156">
        <v>1000</v>
      </c>
      <c r="D156">
        <v>5900</v>
      </c>
      <c r="E156">
        <v>10000</v>
      </c>
      <c r="F156">
        <v>6</v>
      </c>
      <c r="G156" t="s">
        <v>448</v>
      </c>
      <c r="H156" t="s">
        <v>451</v>
      </c>
    </row>
    <row r="157" spans="1:8" x14ac:dyDescent="0.15">
      <c r="A157">
        <v>156</v>
      </c>
      <c r="B157" t="s">
        <v>427</v>
      </c>
      <c r="C157">
        <v>3000</v>
      </c>
      <c r="D157">
        <v>10499</v>
      </c>
      <c r="E157">
        <v>12999</v>
      </c>
      <c r="F157">
        <v>15</v>
      </c>
      <c r="G157" t="s">
        <v>448</v>
      </c>
      <c r="H157" t="s">
        <v>450</v>
      </c>
    </row>
    <row r="158" spans="1:8" x14ac:dyDescent="0.15">
      <c r="A158">
        <v>157</v>
      </c>
      <c r="B158" t="s">
        <v>454</v>
      </c>
      <c r="C158">
        <v>6000</v>
      </c>
      <c r="D158">
        <v>3000</v>
      </c>
      <c r="E158">
        <v>4705</v>
      </c>
      <c r="F158">
        <v>8</v>
      </c>
      <c r="G158" t="s">
        <v>452</v>
      </c>
      <c r="H158" t="s">
        <v>450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8EF6-65B1-CE4D-A0C2-A0B399DEF520}">
  <dimension ref="A1:H156"/>
  <sheetViews>
    <sheetView zoomScale="194" workbookViewId="0">
      <pane ySplit="1" topLeftCell="A2" activePane="bottomLeft" state="frozen"/>
      <selection pane="bottomLeft" activeCell="H143" sqref="A1:H143"/>
    </sheetView>
  </sheetViews>
  <sheetFormatPr baseColWidth="10" defaultRowHeight="13" x14ac:dyDescent="0.15"/>
  <cols>
    <col min="1" max="1" width="5" bestFit="1" customWidth="1"/>
    <col min="3" max="3" width="8.6640625" bestFit="1" customWidth="1"/>
    <col min="4" max="4" width="9" bestFit="1" customWidth="1"/>
    <col min="5" max="5" width="8" bestFit="1" customWidth="1"/>
    <col min="6" max="6" width="12.6640625" bestFit="1" customWidth="1"/>
    <col min="7" max="7" width="12.83203125" bestFit="1" customWidth="1"/>
    <col min="8" max="8" width="16.1640625" bestFit="1" customWidth="1"/>
  </cols>
  <sheetData>
    <row r="1" spans="1:8" x14ac:dyDescent="0.15">
      <c r="A1" t="s">
        <v>455</v>
      </c>
      <c r="B1" t="s">
        <v>456</v>
      </c>
      <c r="C1" t="s">
        <v>429</v>
      </c>
      <c r="D1" t="s">
        <v>431</v>
      </c>
      <c r="E1" t="s">
        <v>433</v>
      </c>
      <c r="F1" t="s">
        <v>435</v>
      </c>
      <c r="G1" t="s">
        <v>440</v>
      </c>
      <c r="H1" t="s">
        <v>444</v>
      </c>
    </row>
    <row r="2" spans="1:8" x14ac:dyDescent="0.15">
      <c r="A2">
        <v>1</v>
      </c>
      <c r="B2" t="s">
        <v>427</v>
      </c>
      <c r="C2">
        <v>2000</v>
      </c>
      <c r="D2">
        <v>5000</v>
      </c>
      <c r="E2">
        <v>6000</v>
      </c>
      <c r="F2">
        <v>20</v>
      </c>
      <c r="G2" t="s">
        <v>448</v>
      </c>
      <c r="H2" t="s">
        <v>449</v>
      </c>
    </row>
    <row r="3" spans="1:8" x14ac:dyDescent="0.15">
      <c r="A3">
        <v>2</v>
      </c>
      <c r="B3" t="s">
        <v>427</v>
      </c>
      <c r="C3">
        <v>1500</v>
      </c>
      <c r="D3">
        <v>2400</v>
      </c>
      <c r="E3">
        <v>5700</v>
      </c>
      <c r="F3">
        <v>1</v>
      </c>
      <c r="G3" t="s">
        <v>448</v>
      </c>
      <c r="H3" t="s">
        <v>450</v>
      </c>
    </row>
    <row r="4" spans="1:8" x14ac:dyDescent="0.15">
      <c r="A4">
        <v>3</v>
      </c>
      <c r="B4" t="s">
        <v>427</v>
      </c>
      <c r="C4">
        <v>1000</v>
      </c>
      <c r="D4">
        <v>2500</v>
      </c>
      <c r="E4">
        <v>8000</v>
      </c>
      <c r="F4">
        <v>18</v>
      </c>
      <c r="G4" t="s">
        <v>448</v>
      </c>
      <c r="H4" t="s">
        <v>451</v>
      </c>
    </row>
    <row r="5" spans="1:8" x14ac:dyDescent="0.15">
      <c r="A5">
        <v>4</v>
      </c>
      <c r="B5" t="s">
        <v>427</v>
      </c>
      <c r="C5">
        <v>2000</v>
      </c>
      <c r="D5">
        <v>7999</v>
      </c>
      <c r="E5">
        <v>11999</v>
      </c>
      <c r="F5">
        <v>6</v>
      </c>
      <c r="G5" t="s">
        <v>452</v>
      </c>
      <c r="H5" t="s">
        <v>453</v>
      </c>
    </row>
    <row r="6" spans="1:8" x14ac:dyDescent="0.15">
      <c r="A6">
        <v>5</v>
      </c>
      <c r="B6" t="s">
        <v>454</v>
      </c>
      <c r="C6">
        <v>2000</v>
      </c>
      <c r="D6">
        <v>3100</v>
      </c>
      <c r="E6">
        <v>5999</v>
      </c>
      <c r="F6">
        <v>18</v>
      </c>
      <c r="G6" t="s">
        <v>452</v>
      </c>
      <c r="H6" t="s">
        <v>451</v>
      </c>
    </row>
    <row r="7" spans="1:8" x14ac:dyDescent="0.15">
      <c r="A7">
        <v>6</v>
      </c>
      <c r="B7" t="s">
        <v>427</v>
      </c>
      <c r="C7">
        <v>2500</v>
      </c>
      <c r="D7">
        <v>5988</v>
      </c>
      <c r="E7">
        <v>7800</v>
      </c>
      <c r="F7">
        <v>2</v>
      </c>
      <c r="G7" t="s">
        <v>448</v>
      </c>
      <c r="H7" t="s">
        <v>450</v>
      </c>
    </row>
    <row r="8" spans="1:8" x14ac:dyDescent="0.15">
      <c r="A8">
        <v>7</v>
      </c>
      <c r="B8" t="s">
        <v>454</v>
      </c>
      <c r="C8">
        <v>800</v>
      </c>
      <c r="D8">
        <v>2100</v>
      </c>
      <c r="E8">
        <v>6400</v>
      </c>
      <c r="F8">
        <v>19</v>
      </c>
      <c r="G8" t="s">
        <v>452</v>
      </c>
      <c r="H8" t="s">
        <v>449</v>
      </c>
    </row>
    <row r="9" spans="1:8" x14ac:dyDescent="0.15">
      <c r="A9">
        <v>8</v>
      </c>
      <c r="B9" t="s">
        <v>454</v>
      </c>
      <c r="C9">
        <v>2500</v>
      </c>
      <c r="D9">
        <v>3900</v>
      </c>
      <c r="E9">
        <v>8000</v>
      </c>
      <c r="F9">
        <v>20</v>
      </c>
      <c r="G9" t="s">
        <v>452</v>
      </c>
      <c r="H9" t="s">
        <v>450</v>
      </c>
    </row>
    <row r="10" spans="1:8" x14ac:dyDescent="0.15">
      <c r="A10">
        <v>9</v>
      </c>
      <c r="B10" t="s">
        <v>427</v>
      </c>
      <c r="C10">
        <v>1500</v>
      </c>
      <c r="D10">
        <v>2100</v>
      </c>
      <c r="E10">
        <v>6400</v>
      </c>
      <c r="F10">
        <v>13</v>
      </c>
      <c r="G10" t="s">
        <v>448</v>
      </c>
      <c r="H10" t="s">
        <v>450</v>
      </c>
    </row>
    <row r="11" spans="1:8" x14ac:dyDescent="0.15">
      <c r="A11">
        <v>10</v>
      </c>
      <c r="B11" t="s">
        <v>427</v>
      </c>
      <c r="C11">
        <v>2500</v>
      </c>
      <c r="D11">
        <v>9900</v>
      </c>
      <c r="E11">
        <v>7800</v>
      </c>
      <c r="F11">
        <v>4</v>
      </c>
      <c r="G11" t="s">
        <v>452</v>
      </c>
      <c r="H11" t="s">
        <v>451</v>
      </c>
    </row>
    <row r="12" spans="1:8" x14ac:dyDescent="0.15">
      <c r="A12">
        <v>11</v>
      </c>
      <c r="B12" t="s">
        <v>427</v>
      </c>
      <c r="C12">
        <v>2000</v>
      </c>
      <c r="D12">
        <v>5500</v>
      </c>
      <c r="E12">
        <v>6000</v>
      </c>
      <c r="F12">
        <v>20</v>
      </c>
      <c r="G12" t="s">
        <v>452</v>
      </c>
      <c r="H12" t="s">
        <v>450</v>
      </c>
    </row>
    <row r="13" spans="1:8" x14ac:dyDescent="0.15">
      <c r="A13">
        <v>12</v>
      </c>
      <c r="B13" t="s">
        <v>427</v>
      </c>
      <c r="C13">
        <v>2000</v>
      </c>
      <c r="D13">
        <v>6000</v>
      </c>
      <c r="E13">
        <v>7000</v>
      </c>
      <c r="F13">
        <v>18</v>
      </c>
      <c r="G13" t="s">
        <v>448</v>
      </c>
      <c r="H13" t="s">
        <v>451</v>
      </c>
    </row>
    <row r="14" spans="1:8" x14ac:dyDescent="0.15">
      <c r="A14">
        <v>13</v>
      </c>
      <c r="B14" t="s">
        <v>454</v>
      </c>
      <c r="C14">
        <v>2700</v>
      </c>
      <c r="D14">
        <v>7999</v>
      </c>
      <c r="E14">
        <v>6500</v>
      </c>
      <c r="F14">
        <v>6</v>
      </c>
      <c r="G14" t="s">
        <v>452</v>
      </c>
      <c r="H14" t="s">
        <v>450</v>
      </c>
    </row>
    <row r="15" spans="1:8" x14ac:dyDescent="0.15">
      <c r="A15">
        <v>14</v>
      </c>
      <c r="B15" t="s">
        <v>454</v>
      </c>
      <c r="C15">
        <v>1500</v>
      </c>
      <c r="D15">
        <v>2000</v>
      </c>
      <c r="E15">
        <v>5000</v>
      </c>
      <c r="F15">
        <v>17</v>
      </c>
      <c r="G15" t="s">
        <v>448</v>
      </c>
      <c r="H15" t="s">
        <v>450</v>
      </c>
    </row>
    <row r="16" spans="1:8" x14ac:dyDescent="0.15">
      <c r="A16">
        <v>16</v>
      </c>
      <c r="B16" t="s">
        <v>454</v>
      </c>
      <c r="C16">
        <v>2000</v>
      </c>
      <c r="D16">
        <v>5199</v>
      </c>
      <c r="E16">
        <v>8999</v>
      </c>
      <c r="F16">
        <v>6</v>
      </c>
      <c r="G16" t="s">
        <v>452</v>
      </c>
      <c r="H16" t="s">
        <v>449</v>
      </c>
    </row>
    <row r="17" spans="1:8" x14ac:dyDescent="0.15">
      <c r="A17">
        <v>17</v>
      </c>
      <c r="B17" t="s">
        <v>454</v>
      </c>
      <c r="C17">
        <v>1500</v>
      </c>
      <c r="D17">
        <v>8000</v>
      </c>
      <c r="E17">
        <v>6000</v>
      </c>
      <c r="F17">
        <v>18</v>
      </c>
      <c r="G17" t="s">
        <v>452</v>
      </c>
      <c r="H17" t="s">
        <v>450</v>
      </c>
    </row>
    <row r="18" spans="1:8" x14ac:dyDescent="0.15">
      <c r="A18">
        <v>18</v>
      </c>
      <c r="B18" t="s">
        <v>427</v>
      </c>
      <c r="C18">
        <v>2500</v>
      </c>
      <c r="D18">
        <v>3000</v>
      </c>
      <c r="E18">
        <v>8000</v>
      </c>
      <c r="F18">
        <v>19</v>
      </c>
      <c r="G18" t="s">
        <v>448</v>
      </c>
      <c r="H18" t="s">
        <v>449</v>
      </c>
    </row>
    <row r="19" spans="1:8" x14ac:dyDescent="0.15">
      <c r="A19">
        <v>19</v>
      </c>
      <c r="B19" t="s">
        <v>454</v>
      </c>
      <c r="C19">
        <v>2500</v>
      </c>
      <c r="D19">
        <v>5690</v>
      </c>
      <c r="E19">
        <v>5999</v>
      </c>
      <c r="F19">
        <v>20</v>
      </c>
      <c r="G19" t="s">
        <v>452</v>
      </c>
      <c r="H19" t="s">
        <v>450</v>
      </c>
    </row>
    <row r="20" spans="1:8" x14ac:dyDescent="0.15">
      <c r="A20">
        <v>20</v>
      </c>
      <c r="B20" t="s">
        <v>454</v>
      </c>
      <c r="C20">
        <v>2000</v>
      </c>
      <c r="D20">
        <v>5500</v>
      </c>
      <c r="E20">
        <v>7500</v>
      </c>
      <c r="F20">
        <v>18</v>
      </c>
      <c r="G20" t="s">
        <v>452</v>
      </c>
      <c r="H20" t="s">
        <v>450</v>
      </c>
    </row>
    <row r="21" spans="1:8" x14ac:dyDescent="0.15">
      <c r="A21">
        <v>21</v>
      </c>
      <c r="B21" t="s">
        <v>454</v>
      </c>
      <c r="C21">
        <v>1500</v>
      </c>
      <c r="D21">
        <v>3000</v>
      </c>
      <c r="E21">
        <v>7000</v>
      </c>
      <c r="F21">
        <v>15</v>
      </c>
      <c r="G21" t="s">
        <v>452</v>
      </c>
      <c r="H21" t="s">
        <v>450</v>
      </c>
    </row>
    <row r="22" spans="1:8" x14ac:dyDescent="0.15">
      <c r="A22">
        <v>22</v>
      </c>
      <c r="B22" t="s">
        <v>454</v>
      </c>
      <c r="C22">
        <v>1500</v>
      </c>
      <c r="D22">
        <v>6000</v>
      </c>
      <c r="E22">
        <v>7000</v>
      </c>
      <c r="F22">
        <v>18</v>
      </c>
      <c r="G22" t="s">
        <v>452</v>
      </c>
      <c r="H22" t="s">
        <v>450</v>
      </c>
    </row>
    <row r="23" spans="1:8" x14ac:dyDescent="0.15">
      <c r="A23">
        <v>23</v>
      </c>
      <c r="B23" t="s">
        <v>454</v>
      </c>
      <c r="C23">
        <v>1700</v>
      </c>
      <c r="D23">
        <v>3900</v>
      </c>
      <c r="E23">
        <v>4300</v>
      </c>
      <c r="F23">
        <v>18</v>
      </c>
      <c r="G23" t="s">
        <v>452</v>
      </c>
      <c r="H23" t="s">
        <v>450</v>
      </c>
    </row>
    <row r="24" spans="1:8" x14ac:dyDescent="0.15">
      <c r="A24">
        <v>24</v>
      </c>
      <c r="B24" t="s">
        <v>454</v>
      </c>
      <c r="C24">
        <v>2500</v>
      </c>
      <c r="D24">
        <v>10000</v>
      </c>
      <c r="E24">
        <v>6300</v>
      </c>
      <c r="F24">
        <v>36</v>
      </c>
      <c r="G24" t="s">
        <v>452</v>
      </c>
      <c r="H24" t="s">
        <v>450</v>
      </c>
    </row>
    <row r="25" spans="1:8" x14ac:dyDescent="0.15">
      <c r="A25">
        <v>25</v>
      </c>
      <c r="B25" t="s">
        <v>454</v>
      </c>
      <c r="C25">
        <v>2200</v>
      </c>
      <c r="D25">
        <v>2900</v>
      </c>
      <c r="E25">
        <v>5100</v>
      </c>
      <c r="F25">
        <v>17</v>
      </c>
      <c r="G25" t="s">
        <v>448</v>
      </c>
      <c r="H25" t="s">
        <v>449</v>
      </c>
    </row>
    <row r="26" spans="1:8" x14ac:dyDescent="0.15">
      <c r="A26">
        <v>26</v>
      </c>
      <c r="B26" t="s">
        <v>454</v>
      </c>
      <c r="C26">
        <v>1500</v>
      </c>
      <c r="D26">
        <v>6000</v>
      </c>
      <c r="E26">
        <v>7000</v>
      </c>
      <c r="F26">
        <v>62</v>
      </c>
      <c r="G26" t="s">
        <v>452</v>
      </c>
      <c r="H26" t="s">
        <v>450</v>
      </c>
    </row>
    <row r="27" spans="1:8" x14ac:dyDescent="0.15">
      <c r="A27">
        <v>27</v>
      </c>
      <c r="B27" t="s">
        <v>427</v>
      </c>
      <c r="C27">
        <v>2000</v>
      </c>
      <c r="D27">
        <v>3400</v>
      </c>
      <c r="E27">
        <v>5600</v>
      </c>
      <c r="F27">
        <v>6</v>
      </c>
      <c r="G27" t="s">
        <v>452</v>
      </c>
      <c r="H27" t="s">
        <v>450</v>
      </c>
    </row>
    <row r="28" spans="1:8" x14ac:dyDescent="0.15">
      <c r="A28">
        <v>28</v>
      </c>
      <c r="B28" t="s">
        <v>454</v>
      </c>
      <c r="C28">
        <v>2000</v>
      </c>
      <c r="D28">
        <v>5999</v>
      </c>
      <c r="E28">
        <v>6789</v>
      </c>
      <c r="F28">
        <v>24</v>
      </c>
      <c r="G28" t="s">
        <v>448</v>
      </c>
      <c r="H28" t="s">
        <v>451</v>
      </c>
    </row>
    <row r="29" spans="1:8" x14ac:dyDescent="0.15">
      <c r="A29">
        <v>29</v>
      </c>
      <c r="B29" t="s">
        <v>454</v>
      </c>
      <c r="C29">
        <v>2000</v>
      </c>
      <c r="D29">
        <v>3200</v>
      </c>
      <c r="E29">
        <v>5400</v>
      </c>
      <c r="F29">
        <v>18</v>
      </c>
      <c r="G29" t="s">
        <v>448</v>
      </c>
      <c r="H29" t="s">
        <v>451</v>
      </c>
    </row>
    <row r="30" spans="1:8" x14ac:dyDescent="0.15">
      <c r="A30">
        <v>30</v>
      </c>
      <c r="B30" t="s">
        <v>454</v>
      </c>
      <c r="C30">
        <v>2000</v>
      </c>
      <c r="D30">
        <v>5499</v>
      </c>
      <c r="E30">
        <v>5320</v>
      </c>
      <c r="F30">
        <v>17</v>
      </c>
      <c r="G30" t="s">
        <v>448</v>
      </c>
      <c r="H30" t="s">
        <v>450</v>
      </c>
    </row>
    <row r="31" spans="1:8" x14ac:dyDescent="0.15">
      <c r="A31">
        <v>31</v>
      </c>
      <c r="B31" t="s">
        <v>454</v>
      </c>
      <c r="C31">
        <v>2000</v>
      </c>
      <c r="D31">
        <v>1800</v>
      </c>
      <c r="E31">
        <v>3000</v>
      </c>
      <c r="F31">
        <v>15</v>
      </c>
      <c r="G31" t="s">
        <v>448</v>
      </c>
      <c r="H31" t="s">
        <v>449</v>
      </c>
    </row>
    <row r="32" spans="1:8" x14ac:dyDescent="0.15">
      <c r="A32">
        <v>32</v>
      </c>
      <c r="B32" t="s">
        <v>454</v>
      </c>
      <c r="C32">
        <v>1800</v>
      </c>
      <c r="D32">
        <v>3400</v>
      </c>
      <c r="E32">
        <v>4000</v>
      </c>
      <c r="F32">
        <v>41</v>
      </c>
      <c r="G32" t="s">
        <v>452</v>
      </c>
      <c r="H32" t="s">
        <v>450</v>
      </c>
    </row>
    <row r="33" spans="1:8" x14ac:dyDescent="0.15">
      <c r="A33">
        <v>33</v>
      </c>
      <c r="B33" t="s">
        <v>427</v>
      </c>
      <c r="C33">
        <v>1500</v>
      </c>
      <c r="D33">
        <v>3700</v>
      </c>
      <c r="E33">
        <v>6500</v>
      </c>
      <c r="F33">
        <v>20</v>
      </c>
      <c r="G33" t="s">
        <v>448</v>
      </c>
      <c r="H33" t="s">
        <v>451</v>
      </c>
    </row>
    <row r="34" spans="1:8" x14ac:dyDescent="0.15">
      <c r="A34">
        <v>34</v>
      </c>
      <c r="B34" t="s">
        <v>454</v>
      </c>
      <c r="C34">
        <v>3000</v>
      </c>
      <c r="D34">
        <v>10999</v>
      </c>
      <c r="E34">
        <v>6199</v>
      </c>
      <c r="F34">
        <v>4</v>
      </c>
      <c r="G34" t="s">
        <v>452</v>
      </c>
      <c r="H34" t="s">
        <v>450</v>
      </c>
    </row>
    <row r="35" spans="1:8" x14ac:dyDescent="0.15">
      <c r="A35">
        <v>35</v>
      </c>
      <c r="B35" t="s">
        <v>454</v>
      </c>
      <c r="C35">
        <v>1500</v>
      </c>
      <c r="D35">
        <v>7900</v>
      </c>
      <c r="E35">
        <v>4500</v>
      </c>
      <c r="F35">
        <v>19</v>
      </c>
      <c r="G35" t="s">
        <v>452</v>
      </c>
      <c r="H35" t="s">
        <v>450</v>
      </c>
    </row>
    <row r="36" spans="1:8" x14ac:dyDescent="0.15">
      <c r="A36">
        <v>36</v>
      </c>
      <c r="B36" t="s">
        <v>454</v>
      </c>
      <c r="C36">
        <v>1700</v>
      </c>
      <c r="D36">
        <v>2500</v>
      </c>
      <c r="E36">
        <v>5000</v>
      </c>
      <c r="F36">
        <v>30</v>
      </c>
      <c r="G36" t="s">
        <v>448</v>
      </c>
      <c r="H36" t="s">
        <v>449</v>
      </c>
    </row>
    <row r="37" spans="1:8" x14ac:dyDescent="0.15">
      <c r="A37">
        <v>37</v>
      </c>
      <c r="B37" t="s">
        <v>454</v>
      </c>
      <c r="C37">
        <v>2000</v>
      </c>
      <c r="D37">
        <v>4500</v>
      </c>
      <c r="E37">
        <v>6700</v>
      </c>
      <c r="F37">
        <v>18</v>
      </c>
      <c r="G37" t="s">
        <v>452</v>
      </c>
      <c r="H37" t="s">
        <v>449</v>
      </c>
    </row>
    <row r="38" spans="1:8" x14ac:dyDescent="0.15">
      <c r="A38">
        <v>38</v>
      </c>
      <c r="B38" t="s">
        <v>454</v>
      </c>
      <c r="C38">
        <v>1600</v>
      </c>
      <c r="D38">
        <v>6000</v>
      </c>
      <c r="E38">
        <v>6000</v>
      </c>
      <c r="F38">
        <v>18</v>
      </c>
      <c r="G38" t="s">
        <v>448</v>
      </c>
      <c r="H38" t="s">
        <v>450</v>
      </c>
    </row>
    <row r="39" spans="1:8" x14ac:dyDescent="0.15">
      <c r="A39">
        <v>39</v>
      </c>
      <c r="B39" t="s">
        <v>454</v>
      </c>
      <c r="C39">
        <v>2000</v>
      </c>
      <c r="D39">
        <v>7500</v>
      </c>
      <c r="E39">
        <v>4700</v>
      </c>
      <c r="F39">
        <v>12</v>
      </c>
      <c r="G39" t="s">
        <v>448</v>
      </c>
      <c r="H39" t="s">
        <v>449</v>
      </c>
    </row>
    <row r="40" spans="1:8" x14ac:dyDescent="0.15">
      <c r="A40">
        <v>40</v>
      </c>
      <c r="B40" t="s">
        <v>454</v>
      </c>
      <c r="C40">
        <v>1500</v>
      </c>
      <c r="D40">
        <v>5000</v>
      </c>
      <c r="E40">
        <v>3000</v>
      </c>
      <c r="F40">
        <v>24</v>
      </c>
      <c r="G40" t="s">
        <v>452</v>
      </c>
      <c r="H40" t="s">
        <v>450</v>
      </c>
    </row>
    <row r="41" spans="1:8" x14ac:dyDescent="0.15">
      <c r="A41">
        <v>41</v>
      </c>
      <c r="B41" t="s">
        <v>427</v>
      </c>
      <c r="C41">
        <v>2000</v>
      </c>
      <c r="D41">
        <v>5300</v>
      </c>
      <c r="E41">
        <v>5000</v>
      </c>
      <c r="F41">
        <v>12</v>
      </c>
      <c r="G41" t="s">
        <v>448</v>
      </c>
      <c r="H41" t="s">
        <v>449</v>
      </c>
    </row>
    <row r="42" spans="1:8" x14ac:dyDescent="0.15">
      <c r="A42">
        <v>42</v>
      </c>
      <c r="B42" t="s">
        <v>427</v>
      </c>
      <c r="C42">
        <v>2000</v>
      </c>
      <c r="D42">
        <v>4500</v>
      </c>
      <c r="E42">
        <v>7299</v>
      </c>
      <c r="F42">
        <v>18</v>
      </c>
      <c r="G42" t="s">
        <v>448</v>
      </c>
      <c r="H42" t="s">
        <v>450</v>
      </c>
    </row>
    <row r="43" spans="1:8" x14ac:dyDescent="0.15">
      <c r="A43">
        <v>44</v>
      </c>
      <c r="B43" t="s">
        <v>454</v>
      </c>
      <c r="C43">
        <v>2000</v>
      </c>
      <c r="D43">
        <v>7000</v>
      </c>
      <c r="E43">
        <v>6500</v>
      </c>
      <c r="F43">
        <v>18</v>
      </c>
      <c r="G43" t="s">
        <v>448</v>
      </c>
      <c r="H43" t="s">
        <v>453</v>
      </c>
    </row>
    <row r="44" spans="1:8" x14ac:dyDescent="0.15">
      <c r="A44">
        <v>45</v>
      </c>
      <c r="B44" t="s">
        <v>454</v>
      </c>
      <c r="C44">
        <v>1800</v>
      </c>
      <c r="D44">
        <v>4900</v>
      </c>
      <c r="E44">
        <v>6900</v>
      </c>
      <c r="F44">
        <v>19</v>
      </c>
      <c r="G44" t="s">
        <v>452</v>
      </c>
      <c r="H44" t="s">
        <v>450</v>
      </c>
    </row>
    <row r="45" spans="1:8" x14ac:dyDescent="0.15">
      <c r="A45">
        <v>46</v>
      </c>
      <c r="B45" t="s">
        <v>454</v>
      </c>
      <c r="C45">
        <v>1400</v>
      </c>
      <c r="D45">
        <v>2450</v>
      </c>
      <c r="E45">
        <v>7800</v>
      </c>
      <c r="F45">
        <v>12</v>
      </c>
      <c r="G45" t="s">
        <v>452</v>
      </c>
      <c r="H45" t="s">
        <v>450</v>
      </c>
    </row>
    <row r="46" spans="1:8" x14ac:dyDescent="0.15">
      <c r="A46">
        <v>47</v>
      </c>
      <c r="B46" t="s">
        <v>427</v>
      </c>
      <c r="C46">
        <v>1000</v>
      </c>
      <c r="D46">
        <v>2200</v>
      </c>
      <c r="E46">
        <v>6200</v>
      </c>
      <c r="F46">
        <v>21</v>
      </c>
      <c r="G46" t="s">
        <v>448</v>
      </c>
      <c r="H46" t="s">
        <v>450</v>
      </c>
    </row>
    <row r="47" spans="1:8" x14ac:dyDescent="0.15">
      <c r="A47">
        <v>48</v>
      </c>
      <c r="B47" t="s">
        <v>454</v>
      </c>
      <c r="C47">
        <v>2000</v>
      </c>
      <c r="D47">
        <v>5600</v>
      </c>
      <c r="E47">
        <v>5800</v>
      </c>
      <c r="F47">
        <v>20</v>
      </c>
      <c r="G47" t="s">
        <v>452</v>
      </c>
      <c r="H47" t="s">
        <v>450</v>
      </c>
    </row>
    <row r="48" spans="1:8" x14ac:dyDescent="0.15">
      <c r="A48">
        <v>49</v>
      </c>
      <c r="B48" t="s">
        <v>454</v>
      </c>
      <c r="C48">
        <v>2000</v>
      </c>
      <c r="D48">
        <v>7000</v>
      </c>
      <c r="E48">
        <v>3500</v>
      </c>
      <c r="F48">
        <v>19</v>
      </c>
      <c r="G48" t="s">
        <v>452</v>
      </c>
      <c r="H48" t="s">
        <v>450</v>
      </c>
    </row>
    <row r="49" spans="1:8" x14ac:dyDescent="0.15">
      <c r="A49">
        <v>50</v>
      </c>
      <c r="B49" t="s">
        <v>454</v>
      </c>
      <c r="C49">
        <v>1000</v>
      </c>
      <c r="D49">
        <v>2200</v>
      </c>
      <c r="E49">
        <v>4500</v>
      </c>
      <c r="F49">
        <v>18</v>
      </c>
      <c r="G49" t="s">
        <v>452</v>
      </c>
      <c r="H49" t="s">
        <v>450</v>
      </c>
    </row>
    <row r="50" spans="1:8" x14ac:dyDescent="0.15">
      <c r="A50">
        <v>51</v>
      </c>
      <c r="B50" t="s">
        <v>427</v>
      </c>
      <c r="C50">
        <v>1500</v>
      </c>
      <c r="D50">
        <v>1200</v>
      </c>
      <c r="E50">
        <v>5500</v>
      </c>
      <c r="F50">
        <v>6</v>
      </c>
      <c r="G50" t="s">
        <v>452</v>
      </c>
      <c r="H50" t="s">
        <v>450</v>
      </c>
    </row>
    <row r="51" spans="1:8" x14ac:dyDescent="0.15">
      <c r="A51">
        <v>52</v>
      </c>
      <c r="B51" t="s">
        <v>454</v>
      </c>
      <c r="C51">
        <v>2000</v>
      </c>
      <c r="D51">
        <v>6499</v>
      </c>
      <c r="E51">
        <v>7999</v>
      </c>
      <c r="F51">
        <v>18</v>
      </c>
      <c r="G51" t="s">
        <v>448</v>
      </c>
      <c r="H51" t="s">
        <v>451</v>
      </c>
    </row>
    <row r="52" spans="1:8" x14ac:dyDescent="0.15">
      <c r="A52">
        <v>53</v>
      </c>
      <c r="B52" t="s">
        <v>454</v>
      </c>
      <c r="C52">
        <v>2000</v>
      </c>
      <c r="D52">
        <v>8700</v>
      </c>
      <c r="E52">
        <v>9300</v>
      </c>
      <c r="F52">
        <v>26</v>
      </c>
      <c r="G52" t="s">
        <v>448</v>
      </c>
      <c r="H52" t="s">
        <v>451</v>
      </c>
    </row>
    <row r="53" spans="1:8" x14ac:dyDescent="0.15">
      <c r="A53">
        <v>54</v>
      </c>
      <c r="B53" t="s">
        <v>454</v>
      </c>
      <c r="C53">
        <v>4000</v>
      </c>
      <c r="D53">
        <v>3599</v>
      </c>
      <c r="E53">
        <v>4099</v>
      </c>
      <c r="F53">
        <v>36</v>
      </c>
      <c r="G53" t="s">
        <v>452</v>
      </c>
      <c r="H53" t="s">
        <v>450</v>
      </c>
    </row>
    <row r="54" spans="1:8" x14ac:dyDescent="0.15">
      <c r="A54">
        <v>56</v>
      </c>
      <c r="B54" t="s">
        <v>454</v>
      </c>
      <c r="C54">
        <v>2200</v>
      </c>
      <c r="D54">
        <v>6000</v>
      </c>
      <c r="E54">
        <v>6000</v>
      </c>
      <c r="F54">
        <v>18</v>
      </c>
      <c r="G54" t="s">
        <v>452</v>
      </c>
      <c r="H54" t="s">
        <v>450</v>
      </c>
    </row>
    <row r="55" spans="1:8" x14ac:dyDescent="0.15">
      <c r="A55">
        <v>57</v>
      </c>
      <c r="B55" t="s">
        <v>454</v>
      </c>
      <c r="C55">
        <v>2000</v>
      </c>
      <c r="D55">
        <v>1200</v>
      </c>
      <c r="E55">
        <v>2900</v>
      </c>
      <c r="F55">
        <v>10</v>
      </c>
      <c r="G55" t="s">
        <v>452</v>
      </c>
      <c r="H55" t="s">
        <v>450</v>
      </c>
    </row>
    <row r="56" spans="1:8" x14ac:dyDescent="0.15">
      <c r="A56">
        <v>58</v>
      </c>
      <c r="B56" t="s">
        <v>454</v>
      </c>
      <c r="C56">
        <v>1500</v>
      </c>
      <c r="D56">
        <v>2200</v>
      </c>
      <c r="E56">
        <v>4600</v>
      </c>
      <c r="F56">
        <v>6</v>
      </c>
      <c r="G56" t="s">
        <v>452</v>
      </c>
      <c r="H56" t="s">
        <v>450</v>
      </c>
    </row>
    <row r="57" spans="1:8" x14ac:dyDescent="0.15">
      <c r="A57">
        <v>59</v>
      </c>
      <c r="B57" t="s">
        <v>454</v>
      </c>
      <c r="C57">
        <v>1800</v>
      </c>
      <c r="D57">
        <v>2100</v>
      </c>
      <c r="E57">
        <v>3197</v>
      </c>
      <c r="F57">
        <v>19</v>
      </c>
      <c r="G57" t="s">
        <v>452</v>
      </c>
      <c r="H57" t="s">
        <v>449</v>
      </c>
    </row>
    <row r="58" spans="1:8" x14ac:dyDescent="0.15">
      <c r="A58">
        <v>60</v>
      </c>
      <c r="B58" t="s">
        <v>454</v>
      </c>
      <c r="C58">
        <v>2300</v>
      </c>
      <c r="D58">
        <v>7000</v>
      </c>
      <c r="E58">
        <v>4000</v>
      </c>
      <c r="F58">
        <v>20</v>
      </c>
      <c r="G58" t="s">
        <v>452</v>
      </c>
      <c r="H58" t="s">
        <v>450</v>
      </c>
    </row>
    <row r="59" spans="1:8" x14ac:dyDescent="0.15">
      <c r="A59">
        <v>61</v>
      </c>
      <c r="B59" t="s">
        <v>454</v>
      </c>
      <c r="C59">
        <v>2500</v>
      </c>
      <c r="D59">
        <v>7999</v>
      </c>
      <c r="E59">
        <v>3999</v>
      </c>
      <c r="F59">
        <v>36</v>
      </c>
      <c r="G59" t="s">
        <v>452</v>
      </c>
      <c r="H59" t="s">
        <v>450</v>
      </c>
    </row>
    <row r="60" spans="1:8" x14ac:dyDescent="0.15">
      <c r="A60">
        <v>62</v>
      </c>
      <c r="B60" t="s">
        <v>454</v>
      </c>
      <c r="C60">
        <v>1600</v>
      </c>
      <c r="D60">
        <v>3900</v>
      </c>
      <c r="E60">
        <v>6000</v>
      </c>
      <c r="F60">
        <v>13</v>
      </c>
      <c r="G60" t="s">
        <v>452</v>
      </c>
      <c r="H60" t="s">
        <v>451</v>
      </c>
    </row>
    <row r="61" spans="1:8" x14ac:dyDescent="0.15">
      <c r="A61">
        <v>63</v>
      </c>
      <c r="B61" t="s">
        <v>454</v>
      </c>
      <c r="C61">
        <v>2000</v>
      </c>
      <c r="D61">
        <v>7000</v>
      </c>
      <c r="E61">
        <v>8000</v>
      </c>
      <c r="F61">
        <v>24</v>
      </c>
      <c r="G61" t="s">
        <v>452</v>
      </c>
      <c r="H61" t="s">
        <v>449</v>
      </c>
    </row>
    <row r="62" spans="1:8" x14ac:dyDescent="0.15">
      <c r="A62">
        <v>64</v>
      </c>
      <c r="B62" t="s">
        <v>454</v>
      </c>
      <c r="C62">
        <v>1800</v>
      </c>
      <c r="D62">
        <v>2600</v>
      </c>
      <c r="E62">
        <v>10000</v>
      </c>
      <c r="F62">
        <v>24</v>
      </c>
      <c r="G62" t="s">
        <v>448</v>
      </c>
      <c r="H62" t="s">
        <v>450</v>
      </c>
    </row>
    <row r="63" spans="1:8" x14ac:dyDescent="0.15">
      <c r="A63">
        <v>65</v>
      </c>
      <c r="B63" t="s">
        <v>454</v>
      </c>
      <c r="C63">
        <v>1800</v>
      </c>
      <c r="D63">
        <v>4500</v>
      </c>
      <c r="E63">
        <v>5500</v>
      </c>
      <c r="F63">
        <v>14</v>
      </c>
      <c r="G63" t="s">
        <v>452</v>
      </c>
      <c r="H63" t="s">
        <v>450</v>
      </c>
    </row>
    <row r="64" spans="1:8" x14ac:dyDescent="0.15">
      <c r="A64">
        <v>66</v>
      </c>
      <c r="B64" t="s">
        <v>454</v>
      </c>
      <c r="C64">
        <v>1600</v>
      </c>
      <c r="D64">
        <v>1700</v>
      </c>
      <c r="E64">
        <v>1800</v>
      </c>
      <c r="F64">
        <v>16</v>
      </c>
      <c r="G64" t="s">
        <v>452</v>
      </c>
      <c r="H64" t="s">
        <v>450</v>
      </c>
    </row>
    <row r="65" spans="1:8" x14ac:dyDescent="0.15">
      <c r="A65">
        <v>67</v>
      </c>
      <c r="B65" t="s">
        <v>427</v>
      </c>
      <c r="C65">
        <v>2200</v>
      </c>
      <c r="D65">
        <v>2400</v>
      </c>
      <c r="E65">
        <v>8500</v>
      </c>
      <c r="F65">
        <v>16</v>
      </c>
      <c r="G65" t="s">
        <v>448</v>
      </c>
      <c r="H65" t="s">
        <v>450</v>
      </c>
    </row>
    <row r="66" spans="1:8" x14ac:dyDescent="0.15">
      <c r="A66">
        <v>68</v>
      </c>
      <c r="B66" t="s">
        <v>454</v>
      </c>
      <c r="C66">
        <v>2500</v>
      </c>
      <c r="D66">
        <v>5299</v>
      </c>
      <c r="E66">
        <v>9600</v>
      </c>
      <c r="F66">
        <v>21</v>
      </c>
      <c r="G66" t="s">
        <v>452</v>
      </c>
      <c r="H66" t="s">
        <v>453</v>
      </c>
    </row>
    <row r="67" spans="1:8" x14ac:dyDescent="0.15">
      <c r="A67">
        <v>69</v>
      </c>
      <c r="B67" t="s">
        <v>454</v>
      </c>
      <c r="C67">
        <v>1500</v>
      </c>
      <c r="D67">
        <v>2300</v>
      </c>
      <c r="E67">
        <v>3000</v>
      </c>
      <c r="F67">
        <v>18</v>
      </c>
      <c r="G67" t="s">
        <v>452</v>
      </c>
      <c r="H67" t="s">
        <v>450</v>
      </c>
    </row>
    <row r="68" spans="1:8" x14ac:dyDescent="0.15">
      <c r="A68">
        <v>70</v>
      </c>
      <c r="B68" t="s">
        <v>454</v>
      </c>
      <c r="C68">
        <v>1000</v>
      </c>
      <c r="D68">
        <v>3499</v>
      </c>
      <c r="E68">
        <v>4400</v>
      </c>
      <c r="F68">
        <v>18</v>
      </c>
      <c r="G68" t="s">
        <v>452</v>
      </c>
      <c r="H68" t="s">
        <v>450</v>
      </c>
    </row>
    <row r="69" spans="1:8" x14ac:dyDescent="0.15">
      <c r="A69">
        <v>71</v>
      </c>
      <c r="B69" t="s">
        <v>454</v>
      </c>
      <c r="C69">
        <v>800</v>
      </c>
      <c r="D69">
        <v>5499</v>
      </c>
      <c r="E69">
        <v>8999</v>
      </c>
      <c r="F69">
        <v>14</v>
      </c>
      <c r="G69" t="s">
        <v>452</v>
      </c>
      <c r="H69" t="s">
        <v>450</v>
      </c>
    </row>
    <row r="70" spans="1:8" x14ac:dyDescent="0.15">
      <c r="A70">
        <v>72</v>
      </c>
      <c r="B70" t="s">
        <v>454</v>
      </c>
      <c r="C70">
        <v>1500</v>
      </c>
      <c r="D70">
        <v>6000</v>
      </c>
      <c r="E70">
        <v>6000</v>
      </c>
      <c r="F70">
        <v>12</v>
      </c>
      <c r="G70" t="s">
        <v>452</v>
      </c>
      <c r="H70" t="s">
        <v>449</v>
      </c>
    </row>
    <row r="71" spans="1:8" x14ac:dyDescent="0.15">
      <c r="A71">
        <v>74</v>
      </c>
      <c r="B71" t="s">
        <v>427</v>
      </c>
      <c r="C71">
        <v>1500</v>
      </c>
      <c r="D71">
        <v>1600</v>
      </c>
      <c r="E71">
        <v>6500</v>
      </c>
      <c r="F71">
        <v>15</v>
      </c>
      <c r="G71" t="s">
        <v>448</v>
      </c>
      <c r="H71" t="s">
        <v>451</v>
      </c>
    </row>
    <row r="72" spans="1:8" x14ac:dyDescent="0.15">
      <c r="A72">
        <v>75</v>
      </c>
      <c r="B72" t="s">
        <v>454</v>
      </c>
      <c r="C72">
        <v>2000</v>
      </c>
      <c r="D72">
        <v>5500</v>
      </c>
      <c r="E72">
        <v>5000</v>
      </c>
      <c r="F72">
        <v>18</v>
      </c>
      <c r="G72" t="s">
        <v>452</v>
      </c>
      <c r="H72" t="s">
        <v>450</v>
      </c>
    </row>
    <row r="73" spans="1:8" x14ac:dyDescent="0.15">
      <c r="A73">
        <v>77</v>
      </c>
      <c r="B73" t="s">
        <v>454</v>
      </c>
      <c r="C73">
        <v>2700</v>
      </c>
      <c r="D73">
        <v>5800</v>
      </c>
      <c r="E73">
        <v>5400</v>
      </c>
      <c r="F73">
        <v>30</v>
      </c>
      <c r="G73" t="s">
        <v>452</v>
      </c>
      <c r="H73" t="s">
        <v>453</v>
      </c>
    </row>
    <row r="74" spans="1:8" x14ac:dyDescent="0.15">
      <c r="A74">
        <v>78</v>
      </c>
      <c r="B74" t="s">
        <v>454</v>
      </c>
      <c r="C74">
        <v>1500</v>
      </c>
      <c r="D74">
        <v>5000</v>
      </c>
      <c r="E74">
        <v>5000</v>
      </c>
      <c r="F74">
        <v>12</v>
      </c>
      <c r="G74" t="s">
        <v>452</v>
      </c>
      <c r="H74" t="s">
        <v>450</v>
      </c>
    </row>
    <row r="75" spans="1:8" x14ac:dyDescent="0.15">
      <c r="A75">
        <v>79</v>
      </c>
      <c r="B75" t="s">
        <v>454</v>
      </c>
      <c r="C75">
        <v>2500</v>
      </c>
      <c r="D75">
        <v>6999</v>
      </c>
      <c r="E75">
        <v>7688</v>
      </c>
      <c r="F75">
        <v>12</v>
      </c>
      <c r="G75" t="s">
        <v>448</v>
      </c>
      <c r="H75" t="s">
        <v>450</v>
      </c>
    </row>
    <row r="76" spans="1:8" x14ac:dyDescent="0.15">
      <c r="A76">
        <v>80</v>
      </c>
      <c r="B76" t="s">
        <v>454</v>
      </c>
      <c r="C76">
        <v>1500</v>
      </c>
      <c r="D76">
        <v>2500</v>
      </c>
      <c r="E76">
        <v>3800</v>
      </c>
      <c r="F76">
        <v>12</v>
      </c>
      <c r="G76" t="s">
        <v>452</v>
      </c>
      <c r="H76" t="s">
        <v>450</v>
      </c>
    </row>
    <row r="77" spans="1:8" x14ac:dyDescent="0.15">
      <c r="A77">
        <v>81</v>
      </c>
      <c r="B77" t="s">
        <v>454</v>
      </c>
      <c r="C77">
        <v>1500</v>
      </c>
      <c r="D77">
        <v>2000</v>
      </c>
      <c r="E77">
        <v>2000</v>
      </c>
      <c r="F77">
        <v>24</v>
      </c>
      <c r="G77" t="s">
        <v>452</v>
      </c>
      <c r="H77" t="s">
        <v>449</v>
      </c>
    </row>
    <row r="78" spans="1:8" x14ac:dyDescent="0.15">
      <c r="A78">
        <v>82</v>
      </c>
      <c r="B78" t="s">
        <v>454</v>
      </c>
      <c r="C78">
        <v>2700</v>
      </c>
      <c r="D78">
        <v>6999</v>
      </c>
      <c r="E78">
        <v>4988</v>
      </c>
      <c r="F78">
        <v>18</v>
      </c>
      <c r="G78" t="s">
        <v>452</v>
      </c>
      <c r="H78" t="s">
        <v>450</v>
      </c>
    </row>
    <row r="79" spans="1:8" x14ac:dyDescent="0.15">
      <c r="A79">
        <v>83</v>
      </c>
      <c r="B79" t="s">
        <v>454</v>
      </c>
      <c r="C79">
        <v>2000</v>
      </c>
      <c r="D79">
        <v>3000</v>
      </c>
      <c r="E79">
        <v>4000</v>
      </c>
      <c r="F79">
        <v>18</v>
      </c>
      <c r="G79" t="s">
        <v>452</v>
      </c>
      <c r="H79" t="s">
        <v>449</v>
      </c>
    </row>
    <row r="80" spans="1:8" x14ac:dyDescent="0.15">
      <c r="A80">
        <v>84</v>
      </c>
      <c r="B80" t="s">
        <v>454</v>
      </c>
      <c r="C80">
        <v>2000</v>
      </c>
      <c r="D80">
        <v>8900</v>
      </c>
      <c r="E80">
        <v>5000</v>
      </c>
      <c r="F80">
        <v>18</v>
      </c>
      <c r="G80" t="s">
        <v>452</v>
      </c>
      <c r="H80" t="s">
        <v>450</v>
      </c>
    </row>
    <row r="81" spans="1:8" x14ac:dyDescent="0.15">
      <c r="A81">
        <v>85</v>
      </c>
      <c r="B81" t="s">
        <v>454</v>
      </c>
      <c r="C81">
        <v>2400</v>
      </c>
      <c r="D81">
        <v>4200</v>
      </c>
      <c r="E81">
        <v>8000</v>
      </c>
      <c r="F81">
        <v>36</v>
      </c>
      <c r="G81" t="s">
        <v>448</v>
      </c>
      <c r="H81" t="s">
        <v>451</v>
      </c>
    </row>
    <row r="82" spans="1:8" x14ac:dyDescent="0.15">
      <c r="A82">
        <v>86</v>
      </c>
      <c r="B82" t="s">
        <v>454</v>
      </c>
      <c r="C82">
        <v>2300</v>
      </c>
      <c r="D82">
        <v>1600</v>
      </c>
      <c r="E82">
        <v>3600</v>
      </c>
      <c r="F82">
        <v>48</v>
      </c>
      <c r="G82" t="s">
        <v>448</v>
      </c>
      <c r="H82" t="s">
        <v>449</v>
      </c>
    </row>
    <row r="83" spans="1:8" x14ac:dyDescent="0.15">
      <c r="A83">
        <v>87</v>
      </c>
      <c r="B83" t="s">
        <v>454</v>
      </c>
      <c r="C83">
        <v>1300</v>
      </c>
      <c r="D83">
        <v>3300</v>
      </c>
      <c r="E83">
        <v>2300</v>
      </c>
      <c r="F83">
        <v>6</v>
      </c>
      <c r="G83" t="s">
        <v>448</v>
      </c>
      <c r="H83" t="s">
        <v>450</v>
      </c>
    </row>
    <row r="84" spans="1:8" x14ac:dyDescent="0.15">
      <c r="A84">
        <v>88</v>
      </c>
      <c r="B84" t="s">
        <v>454</v>
      </c>
      <c r="C84">
        <v>2300</v>
      </c>
      <c r="D84">
        <v>5100</v>
      </c>
      <c r="E84">
        <v>3800</v>
      </c>
      <c r="F84">
        <v>17</v>
      </c>
      <c r="G84" t="s">
        <v>452</v>
      </c>
      <c r="H84" t="s">
        <v>450</v>
      </c>
    </row>
    <row r="85" spans="1:8" x14ac:dyDescent="0.15">
      <c r="A85">
        <v>89</v>
      </c>
      <c r="B85" t="s">
        <v>454</v>
      </c>
      <c r="C85">
        <v>2000</v>
      </c>
      <c r="D85">
        <v>2500</v>
      </c>
      <c r="E85">
        <v>4400</v>
      </c>
      <c r="F85">
        <v>15</v>
      </c>
      <c r="G85" t="s">
        <v>452</v>
      </c>
      <c r="H85" t="s">
        <v>450</v>
      </c>
    </row>
    <row r="86" spans="1:8" x14ac:dyDescent="0.15">
      <c r="A86">
        <v>90</v>
      </c>
      <c r="B86" t="s">
        <v>454</v>
      </c>
      <c r="C86">
        <v>2500</v>
      </c>
      <c r="D86">
        <v>1400</v>
      </c>
      <c r="E86">
        <v>2900</v>
      </c>
      <c r="F86">
        <v>24</v>
      </c>
      <c r="G86" t="s">
        <v>452</v>
      </c>
      <c r="H86" t="s">
        <v>450</v>
      </c>
    </row>
    <row r="87" spans="1:8" x14ac:dyDescent="0.15">
      <c r="A87">
        <v>91</v>
      </c>
      <c r="B87" t="s">
        <v>454</v>
      </c>
      <c r="C87">
        <v>2100</v>
      </c>
      <c r="D87">
        <v>3000</v>
      </c>
      <c r="E87">
        <v>5000</v>
      </c>
      <c r="F87">
        <v>19</v>
      </c>
      <c r="G87" t="s">
        <v>452</v>
      </c>
      <c r="H87" t="s">
        <v>450</v>
      </c>
    </row>
    <row r="88" spans="1:8" x14ac:dyDescent="0.15">
      <c r="A88">
        <v>92</v>
      </c>
      <c r="B88" t="s">
        <v>454</v>
      </c>
      <c r="C88">
        <v>1800</v>
      </c>
      <c r="D88">
        <v>6100</v>
      </c>
      <c r="E88">
        <v>3000</v>
      </c>
      <c r="F88">
        <v>48</v>
      </c>
      <c r="G88" t="s">
        <v>452</v>
      </c>
      <c r="H88" t="s">
        <v>450</v>
      </c>
    </row>
    <row r="89" spans="1:8" x14ac:dyDescent="0.15">
      <c r="A89">
        <v>93</v>
      </c>
      <c r="B89" t="s">
        <v>454</v>
      </c>
      <c r="C89">
        <v>1500</v>
      </c>
      <c r="D89">
        <v>1500</v>
      </c>
      <c r="E89">
        <v>2300</v>
      </c>
      <c r="F89">
        <v>20</v>
      </c>
      <c r="G89" t="s">
        <v>452</v>
      </c>
      <c r="H89" t="s">
        <v>449</v>
      </c>
    </row>
    <row r="90" spans="1:8" x14ac:dyDescent="0.15">
      <c r="A90">
        <v>94</v>
      </c>
      <c r="B90" t="s">
        <v>454</v>
      </c>
      <c r="C90">
        <v>1500</v>
      </c>
      <c r="D90">
        <v>9000</v>
      </c>
      <c r="E90">
        <v>5000</v>
      </c>
      <c r="F90">
        <v>9</v>
      </c>
      <c r="G90" t="s">
        <v>448</v>
      </c>
      <c r="H90" t="s">
        <v>449</v>
      </c>
    </row>
    <row r="91" spans="1:8" x14ac:dyDescent="0.15">
      <c r="A91">
        <v>95</v>
      </c>
      <c r="B91" t="s">
        <v>454</v>
      </c>
      <c r="C91">
        <v>1700</v>
      </c>
      <c r="D91">
        <v>2900</v>
      </c>
      <c r="E91">
        <v>3700</v>
      </c>
      <c r="F91">
        <v>6</v>
      </c>
      <c r="G91" t="s">
        <v>452</v>
      </c>
      <c r="H91" t="s">
        <v>450</v>
      </c>
    </row>
    <row r="92" spans="1:8" x14ac:dyDescent="0.15">
      <c r="A92">
        <v>97</v>
      </c>
      <c r="B92" t="s">
        <v>454</v>
      </c>
      <c r="C92">
        <v>2000</v>
      </c>
      <c r="D92">
        <v>3300</v>
      </c>
      <c r="E92">
        <v>5500</v>
      </c>
      <c r="F92">
        <v>24</v>
      </c>
      <c r="G92" t="s">
        <v>448</v>
      </c>
      <c r="H92" t="s">
        <v>450</v>
      </c>
    </row>
    <row r="93" spans="1:8" x14ac:dyDescent="0.15">
      <c r="A93">
        <v>98</v>
      </c>
      <c r="B93" t="s">
        <v>454</v>
      </c>
      <c r="C93">
        <v>1500</v>
      </c>
      <c r="D93">
        <v>12999</v>
      </c>
      <c r="E93">
        <v>3000</v>
      </c>
      <c r="F93">
        <v>18</v>
      </c>
      <c r="G93" t="s">
        <v>448</v>
      </c>
      <c r="H93" t="s">
        <v>450</v>
      </c>
    </row>
    <row r="94" spans="1:8" x14ac:dyDescent="0.15">
      <c r="A94">
        <v>99</v>
      </c>
      <c r="B94" t="s">
        <v>454</v>
      </c>
      <c r="C94">
        <v>1000</v>
      </c>
      <c r="D94">
        <v>2600</v>
      </c>
      <c r="E94">
        <v>4299</v>
      </c>
      <c r="F94">
        <v>5</v>
      </c>
      <c r="G94" t="s">
        <v>452</v>
      </c>
      <c r="H94" t="s">
        <v>450</v>
      </c>
    </row>
    <row r="95" spans="1:8" x14ac:dyDescent="0.15">
      <c r="A95">
        <v>100</v>
      </c>
      <c r="B95" t="s">
        <v>454</v>
      </c>
      <c r="C95">
        <v>1500</v>
      </c>
      <c r="D95">
        <v>2700</v>
      </c>
      <c r="E95">
        <v>3200</v>
      </c>
      <c r="F95">
        <v>18</v>
      </c>
      <c r="G95" t="s">
        <v>452</v>
      </c>
      <c r="H95" t="s">
        <v>450</v>
      </c>
    </row>
    <row r="96" spans="1:8" x14ac:dyDescent="0.15">
      <c r="A96">
        <v>101</v>
      </c>
      <c r="B96" t="s">
        <v>454</v>
      </c>
      <c r="C96">
        <v>1600</v>
      </c>
      <c r="D96">
        <v>6000</v>
      </c>
      <c r="E96">
        <v>7000</v>
      </c>
      <c r="F96">
        <v>20</v>
      </c>
      <c r="G96" t="s">
        <v>452</v>
      </c>
      <c r="H96" t="s">
        <v>450</v>
      </c>
    </row>
    <row r="97" spans="1:8" x14ac:dyDescent="0.15">
      <c r="A97">
        <v>102</v>
      </c>
      <c r="B97" t="s">
        <v>427</v>
      </c>
      <c r="C97">
        <v>2200</v>
      </c>
      <c r="D97">
        <v>4000</v>
      </c>
      <c r="E97">
        <v>8000</v>
      </c>
      <c r="F97">
        <v>6</v>
      </c>
      <c r="G97" t="s">
        <v>452</v>
      </c>
      <c r="H97" t="s">
        <v>450</v>
      </c>
    </row>
    <row r="98" spans="1:8" x14ac:dyDescent="0.15">
      <c r="A98">
        <v>103</v>
      </c>
      <c r="B98" t="s">
        <v>427</v>
      </c>
      <c r="C98">
        <v>1511</v>
      </c>
      <c r="D98">
        <v>6115</v>
      </c>
      <c r="E98">
        <v>6715</v>
      </c>
      <c r="F98">
        <v>18</v>
      </c>
      <c r="G98" t="s">
        <v>448</v>
      </c>
      <c r="H98" t="s">
        <v>453</v>
      </c>
    </row>
    <row r="99" spans="1:8" x14ac:dyDescent="0.15">
      <c r="A99">
        <v>104</v>
      </c>
      <c r="B99" t="s">
        <v>427</v>
      </c>
      <c r="C99">
        <v>1500</v>
      </c>
      <c r="D99">
        <v>1614</v>
      </c>
      <c r="E99">
        <v>2599</v>
      </c>
      <c r="F99">
        <v>13</v>
      </c>
      <c r="G99" t="s">
        <v>452</v>
      </c>
      <c r="H99" t="s">
        <v>449</v>
      </c>
    </row>
    <row r="100" spans="1:8" x14ac:dyDescent="0.15">
      <c r="A100">
        <v>105</v>
      </c>
      <c r="B100" t="s">
        <v>454</v>
      </c>
      <c r="C100">
        <v>2500</v>
      </c>
      <c r="D100">
        <v>7799</v>
      </c>
      <c r="E100">
        <v>8599</v>
      </c>
      <c r="F100">
        <v>8</v>
      </c>
      <c r="G100" t="s">
        <v>448</v>
      </c>
      <c r="H100" t="s">
        <v>453</v>
      </c>
    </row>
    <row r="101" spans="1:8" x14ac:dyDescent="0.15">
      <c r="A101">
        <v>106</v>
      </c>
      <c r="B101" t="s">
        <v>454</v>
      </c>
      <c r="C101">
        <v>2500</v>
      </c>
      <c r="D101">
        <v>8100</v>
      </c>
      <c r="E101">
        <v>7200</v>
      </c>
      <c r="F101">
        <v>6</v>
      </c>
      <c r="G101" t="s">
        <v>452</v>
      </c>
      <c r="H101" t="s">
        <v>450</v>
      </c>
    </row>
    <row r="102" spans="1:8" x14ac:dyDescent="0.15">
      <c r="A102">
        <v>107</v>
      </c>
      <c r="B102" t="s">
        <v>427</v>
      </c>
      <c r="C102">
        <v>2200</v>
      </c>
      <c r="D102">
        <v>5800</v>
      </c>
      <c r="E102">
        <v>6000</v>
      </c>
      <c r="F102">
        <v>18</v>
      </c>
      <c r="G102" t="s">
        <v>452</v>
      </c>
      <c r="H102" t="s">
        <v>449</v>
      </c>
    </row>
    <row r="103" spans="1:8" x14ac:dyDescent="0.15">
      <c r="A103">
        <v>108</v>
      </c>
      <c r="B103" t="s">
        <v>427</v>
      </c>
      <c r="C103">
        <v>3000</v>
      </c>
      <c r="D103">
        <v>6000</v>
      </c>
      <c r="E103">
        <v>8000</v>
      </c>
      <c r="F103">
        <v>9</v>
      </c>
      <c r="G103" t="s">
        <v>448</v>
      </c>
      <c r="H103" t="s">
        <v>451</v>
      </c>
    </row>
    <row r="104" spans="1:8" x14ac:dyDescent="0.15">
      <c r="A104">
        <v>109</v>
      </c>
      <c r="B104" t="s">
        <v>454</v>
      </c>
      <c r="C104">
        <v>3000</v>
      </c>
      <c r="D104">
        <v>5000</v>
      </c>
      <c r="E104">
        <v>7000</v>
      </c>
      <c r="F104">
        <v>6</v>
      </c>
      <c r="G104" t="s">
        <v>452</v>
      </c>
      <c r="H104" t="s">
        <v>453</v>
      </c>
    </row>
    <row r="105" spans="1:8" x14ac:dyDescent="0.15">
      <c r="A105">
        <v>110</v>
      </c>
      <c r="B105" t="s">
        <v>454</v>
      </c>
      <c r="C105">
        <v>2000</v>
      </c>
      <c r="D105">
        <v>8600</v>
      </c>
      <c r="E105">
        <v>5000</v>
      </c>
      <c r="F105">
        <v>13</v>
      </c>
      <c r="G105" t="s">
        <v>452</v>
      </c>
      <c r="H105" t="s">
        <v>450</v>
      </c>
    </row>
    <row r="106" spans="1:8" x14ac:dyDescent="0.15">
      <c r="A106">
        <v>112</v>
      </c>
      <c r="B106" t="s">
        <v>454</v>
      </c>
      <c r="C106">
        <v>1900</v>
      </c>
      <c r="D106">
        <v>9999</v>
      </c>
      <c r="E106">
        <v>11999</v>
      </c>
      <c r="F106">
        <v>4</v>
      </c>
      <c r="G106" t="s">
        <v>448</v>
      </c>
      <c r="H106" t="s">
        <v>450</v>
      </c>
    </row>
    <row r="107" spans="1:8" x14ac:dyDescent="0.15">
      <c r="A107">
        <v>113</v>
      </c>
      <c r="B107" t="s">
        <v>454</v>
      </c>
      <c r="C107">
        <v>4000</v>
      </c>
      <c r="D107">
        <v>8699</v>
      </c>
      <c r="E107">
        <v>4500</v>
      </c>
      <c r="F107">
        <v>42</v>
      </c>
      <c r="G107" t="s">
        <v>452</v>
      </c>
      <c r="H107" t="s">
        <v>453</v>
      </c>
    </row>
    <row r="108" spans="1:8" x14ac:dyDescent="0.15">
      <c r="A108">
        <v>115</v>
      </c>
      <c r="B108" t="s">
        <v>454</v>
      </c>
      <c r="C108">
        <v>5000</v>
      </c>
      <c r="D108">
        <v>10000</v>
      </c>
      <c r="E108">
        <v>8000</v>
      </c>
      <c r="F108">
        <v>36</v>
      </c>
      <c r="G108" t="s">
        <v>452</v>
      </c>
      <c r="H108" t="s">
        <v>453</v>
      </c>
    </row>
    <row r="109" spans="1:8" x14ac:dyDescent="0.15">
      <c r="A109">
        <v>116</v>
      </c>
      <c r="B109" t="s">
        <v>454</v>
      </c>
      <c r="C109">
        <v>2500</v>
      </c>
      <c r="D109">
        <v>5500</v>
      </c>
      <c r="E109">
        <v>4500</v>
      </c>
      <c r="F109">
        <v>4</v>
      </c>
      <c r="G109" t="s">
        <v>452</v>
      </c>
      <c r="H109" t="s">
        <v>450</v>
      </c>
    </row>
    <row r="110" spans="1:8" x14ac:dyDescent="0.15">
      <c r="A110">
        <v>117</v>
      </c>
      <c r="B110" t="s">
        <v>454</v>
      </c>
      <c r="C110">
        <v>2500</v>
      </c>
      <c r="D110">
        <v>9299</v>
      </c>
      <c r="E110">
        <v>6255</v>
      </c>
      <c r="F110">
        <v>12</v>
      </c>
      <c r="G110" t="s">
        <v>452</v>
      </c>
      <c r="H110" t="s">
        <v>450</v>
      </c>
    </row>
    <row r="111" spans="1:8" x14ac:dyDescent="0.15">
      <c r="A111">
        <v>118</v>
      </c>
      <c r="B111" t="s">
        <v>454</v>
      </c>
      <c r="C111">
        <v>2500</v>
      </c>
      <c r="D111">
        <v>7600</v>
      </c>
      <c r="E111">
        <v>8500</v>
      </c>
      <c r="F111">
        <v>6</v>
      </c>
      <c r="G111" t="s">
        <v>448</v>
      </c>
      <c r="H111" t="s">
        <v>453</v>
      </c>
    </row>
    <row r="112" spans="1:8" x14ac:dyDescent="0.15">
      <c r="A112">
        <v>120</v>
      </c>
      <c r="B112" t="s">
        <v>454</v>
      </c>
      <c r="C112">
        <v>3500</v>
      </c>
      <c r="D112">
        <v>8000</v>
      </c>
      <c r="E112">
        <v>6000</v>
      </c>
      <c r="F112">
        <v>9</v>
      </c>
      <c r="G112" t="s">
        <v>452</v>
      </c>
      <c r="H112" t="s">
        <v>453</v>
      </c>
    </row>
    <row r="113" spans="1:8" x14ac:dyDescent="0.15">
      <c r="A113">
        <v>121</v>
      </c>
      <c r="B113" t="s">
        <v>427</v>
      </c>
      <c r="C113">
        <v>3000</v>
      </c>
      <c r="D113">
        <v>8999</v>
      </c>
      <c r="E113">
        <v>9599</v>
      </c>
      <c r="F113">
        <v>8</v>
      </c>
      <c r="G113" t="s">
        <v>448</v>
      </c>
      <c r="H113" t="s">
        <v>450</v>
      </c>
    </row>
    <row r="114" spans="1:8" x14ac:dyDescent="0.15">
      <c r="A114">
        <v>122</v>
      </c>
      <c r="B114" t="s">
        <v>454</v>
      </c>
      <c r="C114">
        <v>3000</v>
      </c>
      <c r="D114">
        <v>12000</v>
      </c>
      <c r="E114">
        <v>6399</v>
      </c>
      <c r="F114">
        <v>8</v>
      </c>
      <c r="G114" t="s">
        <v>452</v>
      </c>
      <c r="H114" t="s">
        <v>450</v>
      </c>
    </row>
    <row r="115" spans="1:8" x14ac:dyDescent="0.15">
      <c r="A115">
        <v>123</v>
      </c>
      <c r="B115" t="s">
        <v>454</v>
      </c>
      <c r="C115">
        <v>2500</v>
      </c>
      <c r="D115">
        <v>1500</v>
      </c>
      <c r="E115">
        <v>7699</v>
      </c>
      <c r="F115">
        <v>6</v>
      </c>
      <c r="G115" t="s">
        <v>452</v>
      </c>
      <c r="H115" t="s">
        <v>450</v>
      </c>
    </row>
    <row r="116" spans="1:8" x14ac:dyDescent="0.15">
      <c r="A116">
        <v>124</v>
      </c>
      <c r="B116" t="s">
        <v>427</v>
      </c>
      <c r="C116">
        <v>3000</v>
      </c>
      <c r="D116">
        <v>4000</v>
      </c>
      <c r="E116">
        <v>9000</v>
      </c>
      <c r="F116">
        <v>6</v>
      </c>
      <c r="G116" t="s">
        <v>448</v>
      </c>
      <c r="H116" t="s">
        <v>451</v>
      </c>
    </row>
    <row r="117" spans="1:8" x14ac:dyDescent="0.15">
      <c r="A117">
        <v>126</v>
      </c>
      <c r="B117" t="s">
        <v>454</v>
      </c>
      <c r="C117">
        <v>3000</v>
      </c>
      <c r="D117">
        <v>6900</v>
      </c>
      <c r="E117">
        <v>5600</v>
      </c>
      <c r="F117">
        <v>18</v>
      </c>
      <c r="G117" t="s">
        <v>452</v>
      </c>
      <c r="H117" t="s">
        <v>450</v>
      </c>
    </row>
    <row r="118" spans="1:8" x14ac:dyDescent="0.15">
      <c r="A118">
        <v>127</v>
      </c>
      <c r="B118" t="s">
        <v>427</v>
      </c>
      <c r="C118">
        <v>1500</v>
      </c>
      <c r="D118">
        <v>1208</v>
      </c>
      <c r="E118">
        <v>9900</v>
      </c>
      <c r="F118">
        <v>19</v>
      </c>
      <c r="G118" t="s">
        <v>452</v>
      </c>
      <c r="H118" t="s">
        <v>450</v>
      </c>
    </row>
    <row r="119" spans="1:8" x14ac:dyDescent="0.15">
      <c r="A119">
        <v>128</v>
      </c>
      <c r="B119" t="s">
        <v>454</v>
      </c>
      <c r="C119">
        <v>2500</v>
      </c>
      <c r="D119">
        <v>2999</v>
      </c>
      <c r="E119">
        <v>6600</v>
      </c>
      <c r="F119">
        <v>7</v>
      </c>
      <c r="G119" t="s">
        <v>448</v>
      </c>
      <c r="H119" t="s">
        <v>451</v>
      </c>
    </row>
    <row r="120" spans="1:8" x14ac:dyDescent="0.15">
      <c r="A120">
        <v>129</v>
      </c>
      <c r="B120" t="s">
        <v>427</v>
      </c>
      <c r="C120">
        <v>1500</v>
      </c>
      <c r="D120">
        <v>7999</v>
      </c>
      <c r="E120">
        <v>5600</v>
      </c>
      <c r="F120">
        <v>6</v>
      </c>
      <c r="G120" t="s">
        <v>448</v>
      </c>
      <c r="H120" t="s">
        <v>450</v>
      </c>
    </row>
    <row r="121" spans="1:8" x14ac:dyDescent="0.15">
      <c r="A121">
        <v>130</v>
      </c>
      <c r="B121" t="s">
        <v>454</v>
      </c>
      <c r="C121">
        <v>2000</v>
      </c>
      <c r="D121">
        <v>3200</v>
      </c>
      <c r="E121">
        <v>5500</v>
      </c>
      <c r="F121">
        <v>6</v>
      </c>
      <c r="G121" t="s">
        <v>452</v>
      </c>
      <c r="H121" t="s">
        <v>450</v>
      </c>
    </row>
    <row r="122" spans="1:8" x14ac:dyDescent="0.15">
      <c r="A122">
        <v>131</v>
      </c>
      <c r="B122" t="s">
        <v>454</v>
      </c>
      <c r="C122">
        <v>1500</v>
      </c>
      <c r="D122">
        <v>6000</v>
      </c>
      <c r="E122">
        <v>7500</v>
      </c>
      <c r="F122">
        <v>2</v>
      </c>
      <c r="G122" t="s">
        <v>448</v>
      </c>
      <c r="H122" t="s">
        <v>451</v>
      </c>
    </row>
    <row r="123" spans="1:8" x14ac:dyDescent="0.15">
      <c r="A123">
        <v>132</v>
      </c>
      <c r="B123" t="s">
        <v>454</v>
      </c>
      <c r="C123">
        <v>2500</v>
      </c>
      <c r="D123">
        <v>5999</v>
      </c>
      <c r="E123">
        <v>3599</v>
      </c>
      <c r="F123">
        <v>4</v>
      </c>
      <c r="G123" t="s">
        <v>452</v>
      </c>
      <c r="H123" t="s">
        <v>453</v>
      </c>
    </row>
    <row r="124" spans="1:8" x14ac:dyDescent="0.15">
      <c r="A124">
        <v>133</v>
      </c>
      <c r="B124" t="s">
        <v>427</v>
      </c>
      <c r="C124">
        <v>2400</v>
      </c>
      <c r="D124">
        <v>10000</v>
      </c>
      <c r="E124">
        <v>10000</v>
      </c>
      <c r="F124">
        <v>16</v>
      </c>
      <c r="G124" t="s">
        <v>448</v>
      </c>
      <c r="H124" t="s">
        <v>451</v>
      </c>
    </row>
    <row r="125" spans="1:8" x14ac:dyDescent="0.15">
      <c r="A125">
        <v>134</v>
      </c>
      <c r="B125" t="s">
        <v>427</v>
      </c>
      <c r="C125">
        <v>2200</v>
      </c>
      <c r="D125">
        <v>2600</v>
      </c>
      <c r="E125">
        <v>10000</v>
      </c>
      <c r="F125">
        <v>6</v>
      </c>
      <c r="G125" t="s">
        <v>448</v>
      </c>
      <c r="H125" t="s">
        <v>449</v>
      </c>
    </row>
    <row r="126" spans="1:8" x14ac:dyDescent="0.15">
      <c r="A126">
        <v>136</v>
      </c>
      <c r="B126" t="s">
        <v>427</v>
      </c>
      <c r="C126">
        <v>2500</v>
      </c>
      <c r="D126">
        <v>6099</v>
      </c>
      <c r="E126">
        <v>8999</v>
      </c>
      <c r="F126">
        <v>6</v>
      </c>
      <c r="G126" t="s">
        <v>448</v>
      </c>
      <c r="H126" t="s">
        <v>450</v>
      </c>
    </row>
    <row r="127" spans="1:8" x14ac:dyDescent="0.15">
      <c r="A127">
        <v>138</v>
      </c>
      <c r="B127" t="s">
        <v>454</v>
      </c>
      <c r="C127">
        <v>2200</v>
      </c>
      <c r="D127">
        <v>5999</v>
      </c>
      <c r="E127">
        <v>5200</v>
      </c>
      <c r="F127">
        <v>6</v>
      </c>
      <c r="G127" t="s">
        <v>452</v>
      </c>
      <c r="H127" t="s">
        <v>450</v>
      </c>
    </row>
    <row r="128" spans="1:8" x14ac:dyDescent="0.15">
      <c r="A128">
        <v>139</v>
      </c>
      <c r="B128" t="s">
        <v>454</v>
      </c>
      <c r="C128">
        <v>3000</v>
      </c>
      <c r="D128">
        <v>12800</v>
      </c>
      <c r="E128">
        <v>10800</v>
      </c>
      <c r="F128">
        <v>6</v>
      </c>
      <c r="G128" t="s">
        <v>452</v>
      </c>
      <c r="H128" t="s">
        <v>453</v>
      </c>
    </row>
    <row r="129" spans="1:8" x14ac:dyDescent="0.15">
      <c r="A129">
        <v>140</v>
      </c>
      <c r="B129" t="s">
        <v>454</v>
      </c>
      <c r="C129">
        <v>2500</v>
      </c>
      <c r="D129">
        <v>9799</v>
      </c>
      <c r="E129">
        <v>10500</v>
      </c>
      <c r="F129">
        <v>6</v>
      </c>
      <c r="G129" t="s">
        <v>452</v>
      </c>
      <c r="H129" t="s">
        <v>453</v>
      </c>
    </row>
    <row r="130" spans="1:8" x14ac:dyDescent="0.15">
      <c r="A130">
        <v>141</v>
      </c>
      <c r="B130" t="s">
        <v>454</v>
      </c>
      <c r="C130">
        <v>3500</v>
      </c>
      <c r="D130">
        <v>9999</v>
      </c>
      <c r="E130">
        <v>13000</v>
      </c>
      <c r="F130">
        <v>6</v>
      </c>
      <c r="G130" t="s">
        <v>448</v>
      </c>
      <c r="H130" t="s">
        <v>451</v>
      </c>
    </row>
    <row r="131" spans="1:8" x14ac:dyDescent="0.15">
      <c r="A131">
        <v>143</v>
      </c>
      <c r="B131" t="s">
        <v>454</v>
      </c>
      <c r="C131">
        <v>4200</v>
      </c>
      <c r="D131">
        <v>3500</v>
      </c>
      <c r="E131">
        <v>7500</v>
      </c>
      <c r="F131">
        <v>4</v>
      </c>
      <c r="G131" t="s">
        <v>448</v>
      </c>
      <c r="H131" t="s">
        <v>451</v>
      </c>
    </row>
    <row r="132" spans="1:8" x14ac:dyDescent="0.15">
      <c r="A132">
        <v>144</v>
      </c>
      <c r="B132" t="s">
        <v>454</v>
      </c>
      <c r="C132">
        <v>2000</v>
      </c>
      <c r="D132">
        <v>2900</v>
      </c>
      <c r="E132">
        <v>4800</v>
      </c>
      <c r="F132">
        <v>1</v>
      </c>
      <c r="G132" t="s">
        <v>452</v>
      </c>
      <c r="H132" t="s">
        <v>450</v>
      </c>
    </row>
    <row r="133" spans="1:8" x14ac:dyDescent="0.15">
      <c r="A133">
        <v>145</v>
      </c>
      <c r="B133" t="s">
        <v>427</v>
      </c>
      <c r="C133">
        <v>2000</v>
      </c>
      <c r="D133">
        <v>5000</v>
      </c>
      <c r="E133">
        <v>12000</v>
      </c>
      <c r="F133">
        <v>4</v>
      </c>
      <c r="G133" t="s">
        <v>448</v>
      </c>
      <c r="H133" t="s">
        <v>451</v>
      </c>
    </row>
    <row r="134" spans="1:8" x14ac:dyDescent="0.15">
      <c r="A134">
        <v>146</v>
      </c>
      <c r="B134" t="s">
        <v>427</v>
      </c>
      <c r="C134">
        <v>2200</v>
      </c>
      <c r="D134">
        <v>3400</v>
      </c>
      <c r="E134">
        <v>5500</v>
      </c>
      <c r="F134">
        <v>15</v>
      </c>
      <c r="G134" t="s">
        <v>452</v>
      </c>
      <c r="H134" t="s">
        <v>450</v>
      </c>
    </row>
    <row r="135" spans="1:8" x14ac:dyDescent="0.15">
      <c r="A135">
        <v>147</v>
      </c>
      <c r="B135" t="s">
        <v>454</v>
      </c>
      <c r="C135">
        <v>2000</v>
      </c>
      <c r="D135">
        <v>2200</v>
      </c>
      <c r="E135">
        <v>2300</v>
      </c>
      <c r="F135">
        <v>6</v>
      </c>
      <c r="G135" t="s">
        <v>448</v>
      </c>
      <c r="H135" t="s">
        <v>449</v>
      </c>
    </row>
    <row r="136" spans="1:8" x14ac:dyDescent="0.15">
      <c r="A136">
        <v>148</v>
      </c>
      <c r="B136" t="s">
        <v>454</v>
      </c>
      <c r="C136">
        <v>2500</v>
      </c>
      <c r="D136">
        <v>6000</v>
      </c>
      <c r="E136">
        <v>5679</v>
      </c>
      <c r="F136">
        <v>6</v>
      </c>
      <c r="G136" t="s">
        <v>452</v>
      </c>
      <c r="H136" t="s">
        <v>450</v>
      </c>
    </row>
    <row r="137" spans="1:8" x14ac:dyDescent="0.15">
      <c r="A137">
        <v>149</v>
      </c>
      <c r="B137" t="s">
        <v>454</v>
      </c>
      <c r="C137">
        <v>3000</v>
      </c>
      <c r="D137">
        <v>9000</v>
      </c>
      <c r="E137">
        <v>7400</v>
      </c>
      <c r="F137">
        <v>8</v>
      </c>
      <c r="G137" t="s">
        <v>452</v>
      </c>
      <c r="H137" t="s">
        <v>450</v>
      </c>
    </row>
    <row r="138" spans="1:8" x14ac:dyDescent="0.15">
      <c r="A138">
        <v>150</v>
      </c>
      <c r="B138" t="s">
        <v>427</v>
      </c>
      <c r="C138">
        <v>2000</v>
      </c>
      <c r="D138">
        <v>6800</v>
      </c>
      <c r="E138">
        <v>4800</v>
      </c>
      <c r="F138">
        <v>42</v>
      </c>
      <c r="G138" t="s">
        <v>452</v>
      </c>
      <c r="H138" t="s">
        <v>453</v>
      </c>
    </row>
    <row r="139" spans="1:8" x14ac:dyDescent="0.15">
      <c r="A139">
        <v>152</v>
      </c>
      <c r="B139" t="s">
        <v>454</v>
      </c>
      <c r="C139">
        <v>2500</v>
      </c>
      <c r="D139">
        <v>8999</v>
      </c>
      <c r="E139">
        <v>5899</v>
      </c>
      <c r="F139">
        <v>9</v>
      </c>
      <c r="G139" t="s">
        <v>452</v>
      </c>
      <c r="H139" t="s">
        <v>453</v>
      </c>
    </row>
    <row r="140" spans="1:8" x14ac:dyDescent="0.15">
      <c r="A140">
        <v>153</v>
      </c>
      <c r="B140" t="s">
        <v>454</v>
      </c>
      <c r="C140">
        <v>3000</v>
      </c>
      <c r="D140">
        <v>13999</v>
      </c>
      <c r="E140">
        <v>12499</v>
      </c>
      <c r="F140">
        <v>6</v>
      </c>
      <c r="G140" t="s">
        <v>452</v>
      </c>
      <c r="H140" t="s">
        <v>453</v>
      </c>
    </row>
    <row r="141" spans="1:8" x14ac:dyDescent="0.15">
      <c r="A141">
        <v>154</v>
      </c>
      <c r="B141" t="s">
        <v>454</v>
      </c>
      <c r="C141">
        <v>3500</v>
      </c>
      <c r="D141">
        <v>2500</v>
      </c>
      <c r="E141">
        <v>5500</v>
      </c>
      <c r="F141">
        <v>8</v>
      </c>
      <c r="G141" t="s">
        <v>452</v>
      </c>
      <c r="H141" t="s">
        <v>453</v>
      </c>
    </row>
    <row r="142" spans="1:8" x14ac:dyDescent="0.15">
      <c r="A142">
        <v>155</v>
      </c>
      <c r="B142" t="s">
        <v>454</v>
      </c>
      <c r="C142">
        <v>1000</v>
      </c>
      <c r="D142">
        <v>5900</v>
      </c>
      <c r="E142">
        <v>10000</v>
      </c>
      <c r="F142">
        <v>6</v>
      </c>
      <c r="G142" t="s">
        <v>448</v>
      </c>
      <c r="H142" t="s">
        <v>451</v>
      </c>
    </row>
    <row r="143" spans="1:8" x14ac:dyDescent="0.15">
      <c r="A143">
        <v>156</v>
      </c>
      <c r="B143" t="s">
        <v>427</v>
      </c>
      <c r="C143">
        <v>3000</v>
      </c>
      <c r="D143">
        <v>10499</v>
      </c>
      <c r="E143">
        <v>12999</v>
      </c>
      <c r="F143">
        <v>15</v>
      </c>
      <c r="G143" t="s">
        <v>448</v>
      </c>
      <c r="H143" t="s">
        <v>450</v>
      </c>
    </row>
    <row r="145" spans="1:5" x14ac:dyDescent="0.15">
      <c r="B145" s="4" t="s">
        <v>458</v>
      </c>
      <c r="C145">
        <v>1600</v>
      </c>
      <c r="D145">
        <v>2999</v>
      </c>
      <c r="E145">
        <v>4800</v>
      </c>
    </row>
    <row r="146" spans="1:5" x14ac:dyDescent="0.15">
      <c r="B146" s="4" t="s">
        <v>459</v>
      </c>
      <c r="C146">
        <v>2500</v>
      </c>
      <c r="D146">
        <v>7500</v>
      </c>
      <c r="E146">
        <v>7800</v>
      </c>
    </row>
    <row r="147" spans="1:5" x14ac:dyDescent="0.15">
      <c r="B147" t="s">
        <v>460</v>
      </c>
      <c r="C147">
        <v>900</v>
      </c>
      <c r="D147">
        <v>4501</v>
      </c>
      <c r="E147">
        <v>3000</v>
      </c>
    </row>
    <row r="148" spans="1:5" x14ac:dyDescent="0.15">
      <c r="B148" t="s">
        <v>464</v>
      </c>
      <c r="C148">
        <v>-1100</v>
      </c>
      <c r="D148">
        <v>-10504</v>
      </c>
      <c r="E148">
        <v>-4200</v>
      </c>
    </row>
    <row r="149" spans="1:5" x14ac:dyDescent="0.15">
      <c r="B149" t="s">
        <v>465</v>
      </c>
      <c r="C149">
        <v>5200</v>
      </c>
      <c r="D149">
        <v>21003</v>
      </c>
      <c r="E149">
        <v>16800</v>
      </c>
    </row>
    <row r="155" spans="1:5" x14ac:dyDescent="0.15">
      <c r="A155" t="s">
        <v>461</v>
      </c>
      <c r="B155" t="s">
        <v>463</v>
      </c>
    </row>
    <row r="156" spans="1:5" x14ac:dyDescent="0.15">
      <c r="A156" t="s">
        <v>462</v>
      </c>
      <c r="B156" t="s">
        <v>466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8"/>
  <sheetViews>
    <sheetView topLeftCell="H1" workbookViewId="0">
      <selection activeCell="I37" sqref="I37"/>
    </sheetView>
  </sheetViews>
  <sheetFormatPr baseColWidth="10" defaultColWidth="8.83203125" defaultRowHeight="13" x14ac:dyDescent="0.15"/>
  <cols>
    <col min="1" max="1" width="4.33203125" customWidth="1"/>
    <col min="2" max="2" width="17.1640625" customWidth="1"/>
    <col min="3" max="5" width="7" customWidth="1"/>
    <col min="6" max="6" width="22.5" customWidth="1"/>
    <col min="7" max="7" width="6.5" customWidth="1"/>
    <col min="8" max="8" width="49.5" customWidth="1"/>
    <col min="9" max="9" width="29.5" customWidth="1"/>
    <col min="10" max="10" width="32.33203125" customWidth="1"/>
    <col min="11" max="11" width="38" customWidth="1"/>
    <col min="12" max="12" width="22.83203125" customWidth="1"/>
    <col min="13" max="13" width="39.5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1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>
        <v>2000</v>
      </c>
      <c r="I2">
        <v>5000</v>
      </c>
      <c r="J2">
        <v>6000</v>
      </c>
      <c r="K2">
        <v>20</v>
      </c>
      <c r="L2">
        <v>1</v>
      </c>
      <c r="M2">
        <v>4</v>
      </c>
    </row>
    <row r="3" spans="1:13" x14ac:dyDescent="0.15">
      <c r="A3">
        <v>2</v>
      </c>
      <c r="B3" t="s">
        <v>18</v>
      </c>
      <c r="C3" t="s">
        <v>19</v>
      </c>
      <c r="D3" t="s">
        <v>15</v>
      </c>
      <c r="E3" t="s">
        <v>16</v>
      </c>
      <c r="F3" t="s">
        <v>20</v>
      </c>
      <c r="G3">
        <v>1</v>
      </c>
      <c r="H3">
        <v>1500</v>
      </c>
      <c r="I3">
        <v>2400</v>
      </c>
      <c r="J3">
        <v>5700</v>
      </c>
      <c r="K3">
        <v>1</v>
      </c>
      <c r="L3">
        <v>2</v>
      </c>
      <c r="M3">
        <v>2</v>
      </c>
    </row>
    <row r="4" spans="1:13" x14ac:dyDescent="0.15">
      <c r="A4">
        <v>3</v>
      </c>
      <c r="B4" t="s">
        <v>21</v>
      </c>
      <c r="C4" t="s">
        <v>22</v>
      </c>
      <c r="D4" t="s">
        <v>15</v>
      </c>
      <c r="E4" t="s">
        <v>16</v>
      </c>
      <c r="F4" t="s">
        <v>23</v>
      </c>
      <c r="G4">
        <v>1</v>
      </c>
      <c r="H4">
        <v>1000</v>
      </c>
      <c r="I4">
        <v>2500</v>
      </c>
      <c r="J4">
        <v>8000</v>
      </c>
      <c r="K4">
        <v>18</v>
      </c>
      <c r="L4">
        <v>1</v>
      </c>
      <c r="M4">
        <v>3</v>
      </c>
    </row>
    <row r="5" spans="1:13" x14ac:dyDescent="0.15">
      <c r="A5">
        <v>4</v>
      </c>
      <c r="B5" t="s">
        <v>24</v>
      </c>
      <c r="C5" t="s">
        <v>25</v>
      </c>
      <c r="D5" t="s">
        <v>15</v>
      </c>
      <c r="E5" t="s">
        <v>16</v>
      </c>
      <c r="F5" t="s">
        <v>26</v>
      </c>
      <c r="G5">
        <v>1</v>
      </c>
      <c r="H5">
        <v>2000</v>
      </c>
      <c r="I5">
        <v>7999</v>
      </c>
      <c r="J5">
        <v>11999</v>
      </c>
      <c r="K5">
        <v>6</v>
      </c>
      <c r="L5">
        <v>4</v>
      </c>
      <c r="M5">
        <v>1</v>
      </c>
    </row>
    <row r="6" spans="1:13" x14ac:dyDescent="0.15">
      <c r="A6">
        <v>5</v>
      </c>
      <c r="B6" t="s">
        <v>27</v>
      </c>
      <c r="C6" t="s">
        <v>28</v>
      </c>
      <c r="D6" t="s">
        <v>15</v>
      </c>
      <c r="E6" t="s">
        <v>16</v>
      </c>
      <c r="F6" t="s">
        <v>29</v>
      </c>
      <c r="G6">
        <v>2</v>
      </c>
      <c r="H6">
        <v>2000</v>
      </c>
      <c r="I6">
        <v>3100</v>
      </c>
      <c r="J6">
        <v>5999</v>
      </c>
      <c r="K6">
        <v>18</v>
      </c>
      <c r="L6">
        <v>4</v>
      </c>
      <c r="M6">
        <v>3</v>
      </c>
    </row>
    <row r="7" spans="1:13" x14ac:dyDescent="0.15">
      <c r="A7">
        <v>6</v>
      </c>
      <c r="B7" t="s">
        <v>27</v>
      </c>
      <c r="C7" t="s">
        <v>30</v>
      </c>
      <c r="D7" t="s">
        <v>15</v>
      </c>
      <c r="E7" t="s">
        <v>16</v>
      </c>
      <c r="F7" t="s">
        <v>31</v>
      </c>
      <c r="G7">
        <v>1</v>
      </c>
      <c r="H7">
        <v>2500</v>
      </c>
      <c r="I7">
        <v>5988</v>
      </c>
      <c r="J7">
        <v>7800</v>
      </c>
      <c r="K7">
        <v>2</v>
      </c>
      <c r="L7">
        <v>1</v>
      </c>
      <c r="M7">
        <v>2</v>
      </c>
    </row>
    <row r="8" spans="1:13" x14ac:dyDescent="0.15">
      <c r="A8">
        <v>7</v>
      </c>
      <c r="B8" t="s">
        <v>32</v>
      </c>
      <c r="C8" t="s">
        <v>33</v>
      </c>
      <c r="D8" t="s">
        <v>15</v>
      </c>
      <c r="E8" t="s">
        <v>16</v>
      </c>
      <c r="F8" t="s">
        <v>34</v>
      </c>
      <c r="G8">
        <v>2</v>
      </c>
      <c r="H8">
        <v>800</v>
      </c>
      <c r="I8">
        <v>2100</v>
      </c>
      <c r="J8">
        <v>6400</v>
      </c>
      <c r="K8">
        <v>19</v>
      </c>
      <c r="L8">
        <v>4</v>
      </c>
      <c r="M8">
        <v>4</v>
      </c>
    </row>
    <row r="9" spans="1:13" x14ac:dyDescent="0.15">
      <c r="A9">
        <v>8</v>
      </c>
      <c r="B9" t="s">
        <v>32</v>
      </c>
      <c r="C9" t="s">
        <v>19</v>
      </c>
      <c r="D9" t="s">
        <v>15</v>
      </c>
      <c r="E9" t="s">
        <v>16</v>
      </c>
      <c r="F9" t="s">
        <v>35</v>
      </c>
      <c r="G9">
        <v>2</v>
      </c>
      <c r="H9">
        <v>2500</v>
      </c>
      <c r="I9">
        <v>3900</v>
      </c>
      <c r="J9">
        <v>8000</v>
      </c>
      <c r="K9">
        <v>20</v>
      </c>
      <c r="L9">
        <v>4</v>
      </c>
      <c r="M9">
        <v>2</v>
      </c>
    </row>
    <row r="10" spans="1:13" x14ac:dyDescent="0.15">
      <c r="A10">
        <v>9</v>
      </c>
      <c r="B10" t="s">
        <v>36</v>
      </c>
      <c r="C10" t="s">
        <v>37</v>
      </c>
      <c r="D10" t="s">
        <v>15</v>
      </c>
      <c r="E10" t="s">
        <v>16</v>
      </c>
      <c r="F10" t="s">
        <v>38</v>
      </c>
      <c r="G10">
        <v>1</v>
      </c>
      <c r="H10">
        <v>1500</v>
      </c>
      <c r="I10">
        <v>2100</v>
      </c>
      <c r="J10">
        <v>6400</v>
      </c>
      <c r="K10">
        <v>13</v>
      </c>
      <c r="L10">
        <v>1</v>
      </c>
      <c r="M10">
        <v>2</v>
      </c>
    </row>
    <row r="11" spans="1:13" x14ac:dyDescent="0.15">
      <c r="A11">
        <v>10</v>
      </c>
      <c r="B11" t="s">
        <v>36</v>
      </c>
      <c r="C11" t="s">
        <v>39</v>
      </c>
      <c r="D11" t="s">
        <v>15</v>
      </c>
      <c r="E11" t="s">
        <v>16</v>
      </c>
      <c r="F11" t="s">
        <v>40</v>
      </c>
      <c r="G11">
        <v>1</v>
      </c>
      <c r="H11">
        <v>2500</v>
      </c>
      <c r="I11">
        <v>9900</v>
      </c>
      <c r="J11">
        <v>7800</v>
      </c>
      <c r="K11">
        <v>4</v>
      </c>
      <c r="L11">
        <v>4</v>
      </c>
      <c r="M11">
        <v>3</v>
      </c>
    </row>
    <row r="12" spans="1:13" x14ac:dyDescent="0.15">
      <c r="A12">
        <v>11</v>
      </c>
      <c r="B12" t="s">
        <v>41</v>
      </c>
      <c r="C12" t="s">
        <v>42</v>
      </c>
      <c r="D12" t="s">
        <v>15</v>
      </c>
      <c r="E12" t="s">
        <v>16</v>
      </c>
      <c r="F12" t="s">
        <v>43</v>
      </c>
      <c r="G12">
        <v>1</v>
      </c>
      <c r="H12">
        <v>2000</v>
      </c>
      <c r="I12">
        <v>5500</v>
      </c>
      <c r="J12">
        <v>6000</v>
      </c>
      <c r="K12">
        <v>20</v>
      </c>
      <c r="L12">
        <v>4</v>
      </c>
      <c r="M12">
        <v>2</v>
      </c>
    </row>
    <row r="13" spans="1:13" x14ac:dyDescent="0.15">
      <c r="A13">
        <v>12</v>
      </c>
      <c r="B13" t="s">
        <v>44</v>
      </c>
      <c r="C13" t="s">
        <v>33</v>
      </c>
      <c r="D13" t="s">
        <v>15</v>
      </c>
      <c r="E13" t="s">
        <v>16</v>
      </c>
      <c r="F13" t="s">
        <v>45</v>
      </c>
      <c r="G13">
        <v>1</v>
      </c>
      <c r="H13">
        <v>2000</v>
      </c>
      <c r="I13">
        <v>6000</v>
      </c>
      <c r="J13">
        <v>7000</v>
      </c>
      <c r="K13">
        <v>18</v>
      </c>
      <c r="L13">
        <v>1</v>
      </c>
      <c r="M13">
        <v>3</v>
      </c>
    </row>
    <row r="14" spans="1:13" x14ac:dyDescent="0.15">
      <c r="A14">
        <v>13</v>
      </c>
      <c r="B14" t="s">
        <v>44</v>
      </c>
      <c r="C14" t="s">
        <v>37</v>
      </c>
      <c r="D14" t="s">
        <v>46</v>
      </c>
      <c r="E14" t="s">
        <v>16</v>
      </c>
      <c r="F14" t="s">
        <v>47</v>
      </c>
      <c r="G14">
        <v>2</v>
      </c>
      <c r="H14">
        <v>2700</v>
      </c>
      <c r="I14">
        <v>7999</v>
      </c>
      <c r="J14">
        <v>6500</v>
      </c>
      <c r="K14">
        <v>6</v>
      </c>
      <c r="L14">
        <v>4</v>
      </c>
      <c r="M14">
        <v>2</v>
      </c>
    </row>
    <row r="15" spans="1:13" x14ac:dyDescent="0.15">
      <c r="A15">
        <v>14</v>
      </c>
      <c r="B15" t="s">
        <v>48</v>
      </c>
      <c r="C15" t="s">
        <v>49</v>
      </c>
      <c r="D15" t="s">
        <v>15</v>
      </c>
      <c r="E15" t="s">
        <v>16</v>
      </c>
      <c r="F15" t="s">
        <v>50</v>
      </c>
      <c r="G15">
        <v>2</v>
      </c>
      <c r="H15">
        <v>1500</v>
      </c>
      <c r="I15">
        <v>2000</v>
      </c>
      <c r="J15">
        <v>5000</v>
      </c>
      <c r="K15">
        <v>17</v>
      </c>
      <c r="L15">
        <v>1</v>
      </c>
      <c r="M15">
        <v>2</v>
      </c>
    </row>
    <row r="16" spans="1:13" x14ac:dyDescent="0.15">
      <c r="A16">
        <v>15</v>
      </c>
      <c r="B16" t="s">
        <v>51</v>
      </c>
      <c r="C16" t="s">
        <v>52</v>
      </c>
      <c r="D16" t="s">
        <v>15</v>
      </c>
      <c r="E16" t="s">
        <v>16</v>
      </c>
      <c r="F16" t="s">
        <v>53</v>
      </c>
      <c r="G16">
        <v>2</v>
      </c>
      <c r="H16">
        <v>2500</v>
      </c>
      <c r="I16">
        <v>10000</v>
      </c>
      <c r="J16">
        <v>0</v>
      </c>
      <c r="K16">
        <v>0</v>
      </c>
      <c r="L16">
        <v>3</v>
      </c>
      <c r="M16">
        <v>2</v>
      </c>
    </row>
    <row r="17" spans="1:13" x14ac:dyDescent="0.15">
      <c r="A17">
        <v>16</v>
      </c>
      <c r="B17" t="s">
        <v>54</v>
      </c>
      <c r="C17" t="s">
        <v>55</v>
      </c>
      <c r="D17" t="s">
        <v>15</v>
      </c>
      <c r="E17" t="s">
        <v>16</v>
      </c>
      <c r="F17" t="s">
        <v>56</v>
      </c>
      <c r="G17">
        <v>2</v>
      </c>
      <c r="H17">
        <v>2000</v>
      </c>
      <c r="I17">
        <v>5199</v>
      </c>
      <c r="J17">
        <v>8999</v>
      </c>
      <c r="K17">
        <v>6</v>
      </c>
      <c r="L17">
        <v>4</v>
      </c>
      <c r="M17">
        <v>4</v>
      </c>
    </row>
    <row r="18" spans="1:13" x14ac:dyDescent="0.15">
      <c r="A18">
        <v>17</v>
      </c>
      <c r="B18" t="s">
        <v>57</v>
      </c>
      <c r="C18" t="s">
        <v>58</v>
      </c>
      <c r="D18" t="s">
        <v>15</v>
      </c>
      <c r="E18" t="s">
        <v>16</v>
      </c>
      <c r="F18" t="s">
        <v>59</v>
      </c>
      <c r="G18">
        <v>2</v>
      </c>
      <c r="H18">
        <v>1500</v>
      </c>
      <c r="I18">
        <v>8000</v>
      </c>
      <c r="J18">
        <v>6000</v>
      </c>
      <c r="K18">
        <v>18</v>
      </c>
      <c r="L18">
        <v>4</v>
      </c>
      <c r="M18">
        <v>2</v>
      </c>
    </row>
    <row r="19" spans="1:13" x14ac:dyDescent="0.15">
      <c r="A19">
        <v>18</v>
      </c>
      <c r="B19" t="s">
        <v>57</v>
      </c>
      <c r="C19" t="s">
        <v>55</v>
      </c>
      <c r="D19" t="s">
        <v>15</v>
      </c>
      <c r="E19" t="s">
        <v>16</v>
      </c>
      <c r="F19" t="s">
        <v>60</v>
      </c>
      <c r="G19">
        <v>1</v>
      </c>
      <c r="H19">
        <v>2500</v>
      </c>
      <c r="I19">
        <v>3000</v>
      </c>
      <c r="J19">
        <v>8000</v>
      </c>
      <c r="K19">
        <v>19</v>
      </c>
      <c r="L19">
        <v>1</v>
      </c>
      <c r="M19">
        <v>4</v>
      </c>
    </row>
    <row r="20" spans="1:13" x14ac:dyDescent="0.15">
      <c r="A20">
        <v>19</v>
      </c>
      <c r="B20" t="s">
        <v>61</v>
      </c>
      <c r="C20" t="s">
        <v>55</v>
      </c>
      <c r="D20" t="s">
        <v>15</v>
      </c>
      <c r="E20" t="s">
        <v>16</v>
      </c>
      <c r="F20" t="s">
        <v>62</v>
      </c>
      <c r="G20">
        <v>2</v>
      </c>
      <c r="H20">
        <v>2500</v>
      </c>
      <c r="I20">
        <v>5690</v>
      </c>
      <c r="J20">
        <v>5999</v>
      </c>
      <c r="K20">
        <v>20</v>
      </c>
      <c r="L20">
        <v>4</v>
      </c>
      <c r="M20">
        <v>2</v>
      </c>
    </row>
    <row r="21" spans="1:13" x14ac:dyDescent="0.15">
      <c r="A21">
        <v>20</v>
      </c>
      <c r="B21" t="s">
        <v>63</v>
      </c>
      <c r="C21" t="s">
        <v>64</v>
      </c>
      <c r="D21" t="s">
        <v>15</v>
      </c>
      <c r="E21" t="s">
        <v>16</v>
      </c>
      <c r="F21" t="s">
        <v>65</v>
      </c>
      <c r="G21">
        <v>2</v>
      </c>
      <c r="H21">
        <v>2000</v>
      </c>
      <c r="I21">
        <v>5500</v>
      </c>
      <c r="J21">
        <v>7500</v>
      </c>
      <c r="K21">
        <v>18</v>
      </c>
      <c r="L21">
        <v>4</v>
      </c>
      <c r="M21">
        <v>2</v>
      </c>
    </row>
    <row r="22" spans="1:13" x14ac:dyDescent="0.15">
      <c r="A22">
        <v>21</v>
      </c>
      <c r="B22" t="s">
        <v>66</v>
      </c>
      <c r="C22" t="s">
        <v>67</v>
      </c>
      <c r="D22" t="s">
        <v>15</v>
      </c>
      <c r="E22" t="s">
        <v>16</v>
      </c>
      <c r="F22" t="s">
        <v>68</v>
      </c>
      <c r="G22">
        <v>2</v>
      </c>
      <c r="H22">
        <v>1500</v>
      </c>
      <c r="I22">
        <v>3000</v>
      </c>
      <c r="J22">
        <v>7000</v>
      </c>
      <c r="K22">
        <v>15</v>
      </c>
      <c r="L22">
        <v>4</v>
      </c>
      <c r="M22">
        <v>2</v>
      </c>
    </row>
    <row r="23" spans="1:13" x14ac:dyDescent="0.15">
      <c r="A23">
        <v>22</v>
      </c>
      <c r="B23" t="s">
        <v>69</v>
      </c>
      <c r="C23" t="s">
        <v>70</v>
      </c>
      <c r="D23" t="s">
        <v>15</v>
      </c>
      <c r="E23" t="s">
        <v>16</v>
      </c>
      <c r="F23" t="s">
        <v>71</v>
      </c>
      <c r="G23">
        <v>2</v>
      </c>
      <c r="H23">
        <v>1500</v>
      </c>
      <c r="I23">
        <v>6000</v>
      </c>
      <c r="J23">
        <v>7000</v>
      </c>
      <c r="K23">
        <v>18</v>
      </c>
      <c r="L23">
        <v>4</v>
      </c>
      <c r="M23">
        <v>2</v>
      </c>
    </row>
    <row r="24" spans="1:13" x14ac:dyDescent="0.15">
      <c r="A24">
        <v>23</v>
      </c>
      <c r="B24" t="s">
        <v>72</v>
      </c>
      <c r="C24" t="s">
        <v>73</v>
      </c>
      <c r="D24" t="s">
        <v>15</v>
      </c>
      <c r="E24" t="s">
        <v>16</v>
      </c>
      <c r="F24" t="s">
        <v>74</v>
      </c>
      <c r="G24">
        <v>2</v>
      </c>
      <c r="H24">
        <v>1700</v>
      </c>
      <c r="I24">
        <v>3900</v>
      </c>
      <c r="J24">
        <v>4300</v>
      </c>
      <c r="K24">
        <v>18</v>
      </c>
      <c r="L24">
        <v>4</v>
      </c>
      <c r="M24">
        <v>2</v>
      </c>
    </row>
    <row r="25" spans="1:13" x14ac:dyDescent="0.15">
      <c r="A25">
        <v>24</v>
      </c>
      <c r="B25" t="s">
        <v>75</v>
      </c>
      <c r="C25" t="s">
        <v>76</v>
      </c>
      <c r="D25" t="s">
        <v>15</v>
      </c>
      <c r="E25" t="s">
        <v>16</v>
      </c>
      <c r="F25" t="s">
        <v>77</v>
      </c>
      <c r="G25">
        <v>2</v>
      </c>
      <c r="H25">
        <v>2500</v>
      </c>
      <c r="I25">
        <v>10000</v>
      </c>
      <c r="J25">
        <v>6300</v>
      </c>
      <c r="K25">
        <v>36</v>
      </c>
      <c r="L25">
        <v>4</v>
      </c>
      <c r="M25">
        <v>2</v>
      </c>
    </row>
    <row r="26" spans="1:13" x14ac:dyDescent="0.15">
      <c r="A26">
        <v>25</v>
      </c>
      <c r="B26" t="s">
        <v>78</v>
      </c>
      <c r="C26" t="s">
        <v>79</v>
      </c>
      <c r="D26" t="s">
        <v>15</v>
      </c>
      <c r="E26" t="s">
        <v>16</v>
      </c>
      <c r="F26" t="s">
        <v>80</v>
      </c>
      <c r="G26">
        <v>2</v>
      </c>
      <c r="H26">
        <v>2200</v>
      </c>
      <c r="I26">
        <v>2900</v>
      </c>
      <c r="J26">
        <v>5100</v>
      </c>
      <c r="K26">
        <v>17</v>
      </c>
      <c r="L26">
        <v>1</v>
      </c>
      <c r="M26">
        <v>4</v>
      </c>
    </row>
    <row r="27" spans="1:13" x14ac:dyDescent="0.15">
      <c r="A27">
        <v>26</v>
      </c>
      <c r="B27" t="s">
        <v>81</v>
      </c>
      <c r="C27" t="s">
        <v>82</v>
      </c>
      <c r="D27" t="s">
        <v>83</v>
      </c>
      <c r="E27" t="s">
        <v>84</v>
      </c>
      <c r="F27" t="s">
        <v>85</v>
      </c>
      <c r="G27">
        <v>2</v>
      </c>
      <c r="H27">
        <v>1500</v>
      </c>
      <c r="I27">
        <v>6000</v>
      </c>
      <c r="J27">
        <v>7000</v>
      </c>
      <c r="K27">
        <v>62</v>
      </c>
      <c r="L27">
        <v>4</v>
      </c>
      <c r="M27">
        <v>2</v>
      </c>
    </row>
    <row r="28" spans="1:13" x14ac:dyDescent="0.15">
      <c r="A28">
        <v>27</v>
      </c>
      <c r="B28" t="s">
        <v>86</v>
      </c>
      <c r="C28" t="s">
        <v>87</v>
      </c>
      <c r="D28" t="s">
        <v>15</v>
      </c>
      <c r="E28" t="s">
        <v>16</v>
      </c>
      <c r="F28" t="s">
        <v>88</v>
      </c>
      <c r="G28">
        <v>1</v>
      </c>
      <c r="H28">
        <v>2000</v>
      </c>
      <c r="I28">
        <v>3400</v>
      </c>
      <c r="J28">
        <v>5600</v>
      </c>
      <c r="K28">
        <v>6</v>
      </c>
      <c r="L28">
        <v>4</v>
      </c>
      <c r="M28">
        <v>2</v>
      </c>
    </row>
    <row r="29" spans="1:13" x14ac:dyDescent="0.15">
      <c r="A29">
        <v>28</v>
      </c>
      <c r="B29" t="s">
        <v>89</v>
      </c>
      <c r="C29" t="s">
        <v>90</v>
      </c>
      <c r="D29" t="s">
        <v>15</v>
      </c>
      <c r="E29" t="s">
        <v>16</v>
      </c>
      <c r="F29" t="s">
        <v>91</v>
      </c>
      <c r="G29">
        <v>2</v>
      </c>
      <c r="H29">
        <v>2000</v>
      </c>
      <c r="I29">
        <v>5999</v>
      </c>
      <c r="J29">
        <v>6789</v>
      </c>
      <c r="K29">
        <v>24</v>
      </c>
      <c r="L29">
        <v>1</v>
      </c>
      <c r="M29">
        <v>3</v>
      </c>
    </row>
    <row r="30" spans="1:13" x14ac:dyDescent="0.15">
      <c r="A30">
        <v>29</v>
      </c>
      <c r="B30" t="s">
        <v>92</v>
      </c>
      <c r="C30" t="s">
        <v>93</v>
      </c>
      <c r="D30" t="s">
        <v>15</v>
      </c>
      <c r="E30" t="s">
        <v>16</v>
      </c>
      <c r="F30" t="s">
        <v>94</v>
      </c>
      <c r="G30">
        <v>2</v>
      </c>
      <c r="H30">
        <v>2000</v>
      </c>
      <c r="I30">
        <v>3200</v>
      </c>
      <c r="J30">
        <v>5400</v>
      </c>
      <c r="K30">
        <v>18</v>
      </c>
      <c r="L30">
        <v>2</v>
      </c>
      <c r="M30">
        <v>3</v>
      </c>
    </row>
    <row r="31" spans="1:13" x14ac:dyDescent="0.15">
      <c r="A31">
        <v>30</v>
      </c>
      <c r="B31" t="s">
        <v>95</v>
      </c>
      <c r="C31" t="s">
        <v>96</v>
      </c>
      <c r="D31" t="s">
        <v>15</v>
      </c>
      <c r="E31" t="s">
        <v>16</v>
      </c>
      <c r="F31" t="s">
        <v>97</v>
      </c>
      <c r="G31">
        <v>2</v>
      </c>
      <c r="H31">
        <v>2000</v>
      </c>
      <c r="I31">
        <v>5499</v>
      </c>
      <c r="J31">
        <v>5320</v>
      </c>
      <c r="K31">
        <v>17</v>
      </c>
      <c r="L31">
        <v>1</v>
      </c>
      <c r="M31">
        <v>2</v>
      </c>
    </row>
    <row r="32" spans="1:13" x14ac:dyDescent="0.15">
      <c r="A32">
        <v>31</v>
      </c>
      <c r="B32" t="s">
        <v>98</v>
      </c>
      <c r="C32" t="s">
        <v>99</v>
      </c>
      <c r="D32" t="s">
        <v>15</v>
      </c>
      <c r="E32" t="s">
        <v>16</v>
      </c>
      <c r="F32" t="s">
        <v>100</v>
      </c>
      <c r="G32">
        <v>2</v>
      </c>
      <c r="H32">
        <v>2000</v>
      </c>
      <c r="I32">
        <v>1800</v>
      </c>
      <c r="J32">
        <v>3000</v>
      </c>
      <c r="K32">
        <v>15</v>
      </c>
      <c r="L32">
        <v>3</v>
      </c>
      <c r="M32">
        <v>4</v>
      </c>
    </row>
    <row r="33" spans="1:13" x14ac:dyDescent="0.15">
      <c r="A33">
        <v>32</v>
      </c>
      <c r="B33" t="s">
        <v>101</v>
      </c>
      <c r="C33" t="s">
        <v>102</v>
      </c>
      <c r="D33" t="s">
        <v>15</v>
      </c>
      <c r="E33" t="s">
        <v>16</v>
      </c>
      <c r="F33" t="s">
        <v>103</v>
      </c>
      <c r="G33">
        <v>2</v>
      </c>
      <c r="H33">
        <v>1800</v>
      </c>
      <c r="I33">
        <v>3400</v>
      </c>
      <c r="J33">
        <v>4000</v>
      </c>
      <c r="K33">
        <v>41</v>
      </c>
      <c r="L33">
        <v>4</v>
      </c>
      <c r="M33">
        <v>2</v>
      </c>
    </row>
    <row r="34" spans="1:13" x14ac:dyDescent="0.15">
      <c r="A34">
        <v>33</v>
      </c>
      <c r="B34" t="s">
        <v>104</v>
      </c>
      <c r="C34" t="s">
        <v>105</v>
      </c>
      <c r="D34" t="s">
        <v>46</v>
      </c>
      <c r="E34" t="s">
        <v>16</v>
      </c>
      <c r="F34" t="s">
        <v>106</v>
      </c>
      <c r="G34">
        <v>1</v>
      </c>
      <c r="H34">
        <v>1500</v>
      </c>
      <c r="I34">
        <v>3700</v>
      </c>
      <c r="J34">
        <v>6500</v>
      </c>
      <c r="K34">
        <v>20</v>
      </c>
      <c r="L34">
        <v>1</v>
      </c>
      <c r="M34">
        <v>3</v>
      </c>
    </row>
    <row r="35" spans="1:13" x14ac:dyDescent="0.15">
      <c r="A35">
        <v>34</v>
      </c>
      <c r="B35" t="s">
        <v>107</v>
      </c>
      <c r="C35" t="s">
        <v>108</v>
      </c>
      <c r="D35" t="s">
        <v>15</v>
      </c>
      <c r="E35" t="s">
        <v>16</v>
      </c>
      <c r="F35" t="s">
        <v>109</v>
      </c>
      <c r="G35">
        <v>2</v>
      </c>
      <c r="H35">
        <v>3000</v>
      </c>
      <c r="I35">
        <v>10999</v>
      </c>
      <c r="J35">
        <v>6199</v>
      </c>
      <c r="K35">
        <v>4</v>
      </c>
      <c r="L35">
        <v>4</v>
      </c>
      <c r="M35">
        <v>2</v>
      </c>
    </row>
    <row r="36" spans="1:13" x14ac:dyDescent="0.15">
      <c r="A36">
        <v>35</v>
      </c>
      <c r="B36" t="s">
        <v>110</v>
      </c>
      <c r="C36" t="s">
        <v>111</v>
      </c>
      <c r="D36" t="s">
        <v>15</v>
      </c>
      <c r="E36" t="s">
        <v>16</v>
      </c>
      <c r="F36" t="s">
        <v>112</v>
      </c>
      <c r="G36">
        <v>2</v>
      </c>
      <c r="H36">
        <v>1500</v>
      </c>
      <c r="I36">
        <v>7900</v>
      </c>
      <c r="J36">
        <v>4500</v>
      </c>
      <c r="K36">
        <v>19</v>
      </c>
      <c r="L36">
        <v>4</v>
      </c>
      <c r="M36">
        <v>2</v>
      </c>
    </row>
    <row r="37" spans="1:13" x14ac:dyDescent="0.15">
      <c r="A37">
        <v>36</v>
      </c>
      <c r="B37" t="s">
        <v>113</v>
      </c>
      <c r="C37" t="s">
        <v>114</v>
      </c>
      <c r="D37" t="s">
        <v>15</v>
      </c>
      <c r="E37" t="s">
        <v>16</v>
      </c>
      <c r="F37" t="s">
        <v>115</v>
      </c>
      <c r="G37">
        <v>2</v>
      </c>
      <c r="H37">
        <v>1700</v>
      </c>
      <c r="I37">
        <v>2500</v>
      </c>
      <c r="J37">
        <v>5000</v>
      </c>
      <c r="K37">
        <v>30</v>
      </c>
      <c r="L37">
        <v>2</v>
      </c>
      <c r="M37">
        <v>4</v>
      </c>
    </row>
    <row r="38" spans="1:13" x14ac:dyDescent="0.15">
      <c r="A38">
        <v>37</v>
      </c>
      <c r="B38" t="s">
        <v>116</v>
      </c>
      <c r="C38" t="s">
        <v>117</v>
      </c>
      <c r="D38" t="s">
        <v>15</v>
      </c>
      <c r="E38" t="s">
        <v>16</v>
      </c>
      <c r="F38" t="s">
        <v>118</v>
      </c>
      <c r="G38">
        <v>2</v>
      </c>
      <c r="H38">
        <v>2000</v>
      </c>
      <c r="I38">
        <v>4500</v>
      </c>
      <c r="J38">
        <v>6700</v>
      </c>
      <c r="K38">
        <v>18</v>
      </c>
      <c r="L38">
        <v>4</v>
      </c>
      <c r="M38">
        <v>4</v>
      </c>
    </row>
    <row r="39" spans="1:13" x14ac:dyDescent="0.15">
      <c r="A39">
        <v>38</v>
      </c>
      <c r="B39" t="s">
        <v>119</v>
      </c>
      <c r="C39" t="s">
        <v>120</v>
      </c>
      <c r="D39" t="s">
        <v>15</v>
      </c>
      <c r="E39" t="s">
        <v>16</v>
      </c>
      <c r="F39" t="s">
        <v>121</v>
      </c>
      <c r="G39">
        <v>2</v>
      </c>
      <c r="H39">
        <v>1600</v>
      </c>
      <c r="I39">
        <v>6000</v>
      </c>
      <c r="J39">
        <v>6000</v>
      </c>
      <c r="K39">
        <v>18</v>
      </c>
      <c r="L39">
        <v>3</v>
      </c>
      <c r="M39">
        <v>2</v>
      </c>
    </row>
    <row r="40" spans="1:13" x14ac:dyDescent="0.15">
      <c r="A40">
        <v>39</v>
      </c>
      <c r="B40" t="s">
        <v>122</v>
      </c>
      <c r="C40" t="s">
        <v>123</v>
      </c>
      <c r="D40" t="s">
        <v>15</v>
      </c>
      <c r="E40" t="s">
        <v>16</v>
      </c>
      <c r="F40" t="s">
        <v>124</v>
      </c>
      <c r="G40">
        <v>2</v>
      </c>
      <c r="H40">
        <v>2000</v>
      </c>
      <c r="I40">
        <v>7500</v>
      </c>
      <c r="J40">
        <v>4700</v>
      </c>
      <c r="K40">
        <v>12</v>
      </c>
      <c r="L40">
        <v>1</v>
      </c>
      <c r="M40">
        <v>4</v>
      </c>
    </row>
    <row r="41" spans="1:13" x14ac:dyDescent="0.15">
      <c r="A41">
        <v>40</v>
      </c>
      <c r="B41" t="s">
        <v>125</v>
      </c>
      <c r="C41" t="s">
        <v>126</v>
      </c>
      <c r="D41" t="s">
        <v>15</v>
      </c>
      <c r="E41" t="s">
        <v>16</v>
      </c>
      <c r="F41" t="s">
        <v>127</v>
      </c>
      <c r="G41">
        <v>2</v>
      </c>
      <c r="H41">
        <v>1500</v>
      </c>
      <c r="I41">
        <v>5000</v>
      </c>
      <c r="J41">
        <v>3000</v>
      </c>
      <c r="K41">
        <v>24</v>
      </c>
      <c r="L41">
        <v>4</v>
      </c>
      <c r="M41">
        <v>2</v>
      </c>
    </row>
    <row r="42" spans="1:13" x14ac:dyDescent="0.15">
      <c r="A42">
        <v>41</v>
      </c>
      <c r="B42" t="s">
        <v>128</v>
      </c>
      <c r="C42" t="s">
        <v>129</v>
      </c>
      <c r="D42" t="s">
        <v>15</v>
      </c>
      <c r="E42" t="s">
        <v>16</v>
      </c>
      <c r="F42" t="s">
        <v>130</v>
      </c>
      <c r="G42">
        <v>1</v>
      </c>
      <c r="H42">
        <v>2000</v>
      </c>
      <c r="I42">
        <v>5300</v>
      </c>
      <c r="J42">
        <v>5000</v>
      </c>
      <c r="K42">
        <v>12</v>
      </c>
      <c r="L42">
        <v>1</v>
      </c>
      <c r="M42">
        <v>4</v>
      </c>
    </row>
    <row r="43" spans="1:13" x14ac:dyDescent="0.15">
      <c r="A43">
        <v>42</v>
      </c>
      <c r="B43" t="s">
        <v>131</v>
      </c>
      <c r="C43" t="s">
        <v>132</v>
      </c>
      <c r="D43" t="s">
        <v>15</v>
      </c>
      <c r="E43" t="s">
        <v>16</v>
      </c>
      <c r="F43" t="s">
        <v>133</v>
      </c>
      <c r="G43">
        <v>1</v>
      </c>
      <c r="H43">
        <v>2000</v>
      </c>
      <c r="I43">
        <v>4500</v>
      </c>
      <c r="J43">
        <v>7299</v>
      </c>
      <c r="K43">
        <v>18</v>
      </c>
      <c r="L43">
        <v>1</v>
      </c>
      <c r="M43">
        <v>2</v>
      </c>
    </row>
    <row r="44" spans="1:13" x14ac:dyDescent="0.15">
      <c r="A44">
        <v>43</v>
      </c>
      <c r="B44" t="s">
        <v>131</v>
      </c>
      <c r="C44" t="s">
        <v>134</v>
      </c>
      <c r="D44" t="s">
        <v>15</v>
      </c>
      <c r="E44" t="s">
        <v>16</v>
      </c>
      <c r="F44" t="s">
        <v>135</v>
      </c>
      <c r="G44">
        <v>2</v>
      </c>
      <c r="H44">
        <v>7000</v>
      </c>
      <c r="I44">
        <v>2390</v>
      </c>
      <c r="J44">
        <v>6600</v>
      </c>
      <c r="K44">
        <v>9</v>
      </c>
      <c r="L44">
        <v>4</v>
      </c>
      <c r="M44">
        <v>2</v>
      </c>
    </row>
    <row r="45" spans="1:13" x14ac:dyDescent="0.15">
      <c r="A45">
        <v>44</v>
      </c>
      <c r="B45" t="s">
        <v>136</v>
      </c>
      <c r="C45" t="s">
        <v>137</v>
      </c>
      <c r="D45" t="s">
        <v>15</v>
      </c>
      <c r="E45" t="s">
        <v>16</v>
      </c>
      <c r="F45" t="s">
        <v>34</v>
      </c>
      <c r="G45">
        <v>2</v>
      </c>
      <c r="H45">
        <v>2000</v>
      </c>
      <c r="I45">
        <v>7000</v>
      </c>
      <c r="J45">
        <v>6500</v>
      </c>
      <c r="K45">
        <v>18</v>
      </c>
      <c r="L45">
        <v>1</v>
      </c>
      <c r="M45">
        <v>1</v>
      </c>
    </row>
    <row r="46" spans="1:13" x14ac:dyDescent="0.15">
      <c r="A46">
        <v>45</v>
      </c>
      <c r="B46" t="s">
        <v>138</v>
      </c>
      <c r="C46" t="s">
        <v>139</v>
      </c>
      <c r="D46" t="s">
        <v>15</v>
      </c>
      <c r="E46" t="s">
        <v>16</v>
      </c>
      <c r="F46" t="s">
        <v>140</v>
      </c>
      <c r="G46">
        <v>2</v>
      </c>
      <c r="H46">
        <v>1800</v>
      </c>
      <c r="I46">
        <v>4900</v>
      </c>
      <c r="J46">
        <v>6900</v>
      </c>
      <c r="K46">
        <v>19</v>
      </c>
      <c r="L46">
        <v>4</v>
      </c>
      <c r="M46">
        <v>2</v>
      </c>
    </row>
    <row r="47" spans="1:13" x14ac:dyDescent="0.15">
      <c r="A47">
        <v>46</v>
      </c>
      <c r="B47" t="s">
        <v>141</v>
      </c>
      <c r="C47" t="s">
        <v>142</v>
      </c>
      <c r="D47" t="s">
        <v>15</v>
      </c>
      <c r="E47" t="s">
        <v>16</v>
      </c>
      <c r="F47" t="s">
        <v>143</v>
      </c>
      <c r="G47">
        <v>2</v>
      </c>
      <c r="H47">
        <v>1400</v>
      </c>
      <c r="I47">
        <v>2450</v>
      </c>
      <c r="J47">
        <v>7800</v>
      </c>
      <c r="K47">
        <v>12</v>
      </c>
      <c r="L47">
        <v>4</v>
      </c>
      <c r="M47">
        <v>2</v>
      </c>
    </row>
    <row r="48" spans="1:13" x14ac:dyDescent="0.15">
      <c r="A48">
        <v>47</v>
      </c>
      <c r="B48" t="s">
        <v>144</v>
      </c>
      <c r="C48" t="s">
        <v>145</v>
      </c>
      <c r="D48" t="s">
        <v>15</v>
      </c>
      <c r="E48" t="s">
        <v>16</v>
      </c>
      <c r="F48" t="s">
        <v>146</v>
      </c>
      <c r="G48">
        <v>1</v>
      </c>
      <c r="H48">
        <v>1000</v>
      </c>
      <c r="I48">
        <v>2200</v>
      </c>
      <c r="J48">
        <v>6200</v>
      </c>
      <c r="K48">
        <v>21</v>
      </c>
      <c r="L48">
        <v>1</v>
      </c>
      <c r="M48">
        <v>2</v>
      </c>
    </row>
    <row r="49" spans="1:13" x14ac:dyDescent="0.15">
      <c r="A49">
        <v>48</v>
      </c>
      <c r="B49" t="s">
        <v>147</v>
      </c>
      <c r="C49" t="s">
        <v>148</v>
      </c>
      <c r="D49" t="s">
        <v>15</v>
      </c>
      <c r="E49" t="s">
        <v>16</v>
      </c>
      <c r="F49" t="s">
        <v>149</v>
      </c>
      <c r="G49">
        <v>2</v>
      </c>
      <c r="H49">
        <v>2000</v>
      </c>
      <c r="I49">
        <v>5600</v>
      </c>
      <c r="J49">
        <v>5800</v>
      </c>
      <c r="K49">
        <v>20</v>
      </c>
      <c r="L49">
        <v>4</v>
      </c>
      <c r="M49">
        <v>2</v>
      </c>
    </row>
    <row r="50" spans="1:13" x14ac:dyDescent="0.15">
      <c r="A50">
        <v>49</v>
      </c>
      <c r="B50" t="s">
        <v>150</v>
      </c>
      <c r="C50" t="s">
        <v>151</v>
      </c>
      <c r="D50" t="s">
        <v>15</v>
      </c>
      <c r="E50" t="s">
        <v>16</v>
      </c>
      <c r="F50" t="s">
        <v>152</v>
      </c>
      <c r="G50">
        <v>2</v>
      </c>
      <c r="H50">
        <v>2000</v>
      </c>
      <c r="I50">
        <v>7000</v>
      </c>
      <c r="J50">
        <v>3500</v>
      </c>
      <c r="K50">
        <v>19</v>
      </c>
      <c r="L50">
        <v>4</v>
      </c>
      <c r="M50">
        <v>2</v>
      </c>
    </row>
    <row r="51" spans="1:13" x14ac:dyDescent="0.15">
      <c r="A51">
        <v>50</v>
      </c>
      <c r="B51" t="s">
        <v>153</v>
      </c>
      <c r="C51" t="s">
        <v>37</v>
      </c>
      <c r="D51" t="s">
        <v>15</v>
      </c>
      <c r="E51" t="s">
        <v>16</v>
      </c>
      <c r="F51" t="s">
        <v>154</v>
      </c>
      <c r="G51">
        <v>2</v>
      </c>
      <c r="H51">
        <v>1000</v>
      </c>
      <c r="I51">
        <v>2200</v>
      </c>
      <c r="J51">
        <v>4500</v>
      </c>
      <c r="K51">
        <v>18</v>
      </c>
      <c r="L51">
        <v>4</v>
      </c>
      <c r="M51">
        <v>2</v>
      </c>
    </row>
    <row r="52" spans="1:13" x14ac:dyDescent="0.15">
      <c r="A52">
        <v>51</v>
      </c>
      <c r="B52" t="s">
        <v>155</v>
      </c>
      <c r="C52" t="s">
        <v>156</v>
      </c>
      <c r="D52" t="s">
        <v>15</v>
      </c>
      <c r="E52" t="s">
        <v>16</v>
      </c>
      <c r="F52" t="s">
        <v>157</v>
      </c>
      <c r="G52">
        <v>1</v>
      </c>
      <c r="H52">
        <v>1500</v>
      </c>
      <c r="I52">
        <v>1200</v>
      </c>
      <c r="J52">
        <v>5500</v>
      </c>
      <c r="K52">
        <v>6</v>
      </c>
      <c r="L52">
        <v>4</v>
      </c>
      <c r="M52">
        <v>2</v>
      </c>
    </row>
    <row r="53" spans="1:13" x14ac:dyDescent="0.15">
      <c r="A53">
        <v>52</v>
      </c>
      <c r="B53" t="s">
        <v>158</v>
      </c>
      <c r="C53" t="s">
        <v>151</v>
      </c>
      <c r="D53" t="s">
        <v>15</v>
      </c>
      <c r="E53" t="s">
        <v>16</v>
      </c>
      <c r="F53" t="s">
        <v>159</v>
      </c>
      <c r="G53">
        <v>2</v>
      </c>
      <c r="H53">
        <v>2000</v>
      </c>
      <c r="I53">
        <v>6499</v>
      </c>
      <c r="J53">
        <v>7999</v>
      </c>
      <c r="K53">
        <v>18</v>
      </c>
      <c r="L53">
        <v>1</v>
      </c>
      <c r="M53">
        <v>3</v>
      </c>
    </row>
    <row r="54" spans="1:13" x14ac:dyDescent="0.15">
      <c r="A54">
        <v>53</v>
      </c>
      <c r="B54" t="s">
        <v>158</v>
      </c>
      <c r="C54" t="s">
        <v>160</v>
      </c>
      <c r="D54" t="s">
        <v>15</v>
      </c>
      <c r="E54" t="s">
        <v>16</v>
      </c>
      <c r="F54" t="s">
        <v>161</v>
      </c>
      <c r="G54">
        <v>2</v>
      </c>
      <c r="H54">
        <v>2000</v>
      </c>
      <c r="I54">
        <v>8700</v>
      </c>
      <c r="J54">
        <v>9300</v>
      </c>
      <c r="K54">
        <v>26</v>
      </c>
      <c r="L54">
        <v>3</v>
      </c>
      <c r="M54">
        <v>3</v>
      </c>
    </row>
    <row r="55" spans="1:13" x14ac:dyDescent="0.15">
      <c r="A55">
        <v>54</v>
      </c>
      <c r="B55" t="s">
        <v>162</v>
      </c>
      <c r="C55" t="s">
        <v>163</v>
      </c>
      <c r="D55" t="s">
        <v>15</v>
      </c>
      <c r="E55" t="s">
        <v>16</v>
      </c>
      <c r="F55" t="s">
        <v>164</v>
      </c>
      <c r="G55">
        <v>2</v>
      </c>
      <c r="H55">
        <v>4000</v>
      </c>
      <c r="I55">
        <v>3599</v>
      </c>
      <c r="J55">
        <v>4099</v>
      </c>
      <c r="K55">
        <v>36</v>
      </c>
      <c r="L55">
        <v>4</v>
      </c>
      <c r="M55">
        <v>2</v>
      </c>
    </row>
    <row r="56" spans="1:13" x14ac:dyDescent="0.15">
      <c r="A56">
        <v>55</v>
      </c>
      <c r="B56" t="s">
        <v>165</v>
      </c>
      <c r="C56" t="s">
        <v>166</v>
      </c>
      <c r="D56" t="s">
        <v>15</v>
      </c>
      <c r="E56" t="s">
        <v>16</v>
      </c>
      <c r="F56" t="s">
        <v>167</v>
      </c>
      <c r="G56">
        <v>2</v>
      </c>
      <c r="H56">
        <v>32679</v>
      </c>
      <c r="I56">
        <v>3105</v>
      </c>
      <c r="J56">
        <v>4200</v>
      </c>
      <c r="K56">
        <v>12</v>
      </c>
      <c r="L56">
        <v>4</v>
      </c>
      <c r="M56">
        <v>2</v>
      </c>
    </row>
    <row r="57" spans="1:13" x14ac:dyDescent="0.15">
      <c r="A57">
        <v>56</v>
      </c>
      <c r="B57" t="s">
        <v>168</v>
      </c>
      <c r="C57" t="s">
        <v>169</v>
      </c>
      <c r="D57" t="s">
        <v>15</v>
      </c>
      <c r="E57" t="s">
        <v>16</v>
      </c>
      <c r="F57" t="s">
        <v>170</v>
      </c>
      <c r="G57">
        <v>2</v>
      </c>
      <c r="H57">
        <v>2200</v>
      </c>
      <c r="I57">
        <v>6000</v>
      </c>
      <c r="J57">
        <v>6000</v>
      </c>
      <c r="K57">
        <v>18</v>
      </c>
      <c r="L57">
        <v>4</v>
      </c>
      <c r="M57">
        <v>2</v>
      </c>
    </row>
    <row r="58" spans="1:13" x14ac:dyDescent="0.15">
      <c r="A58">
        <v>57</v>
      </c>
      <c r="B58" t="s">
        <v>171</v>
      </c>
      <c r="C58" t="s">
        <v>172</v>
      </c>
      <c r="D58" t="s">
        <v>46</v>
      </c>
      <c r="E58" t="s">
        <v>16</v>
      </c>
      <c r="F58" t="s">
        <v>173</v>
      </c>
      <c r="G58">
        <v>2</v>
      </c>
      <c r="H58">
        <v>2000</v>
      </c>
      <c r="I58">
        <v>1200</v>
      </c>
      <c r="J58">
        <v>2900</v>
      </c>
      <c r="K58">
        <v>10</v>
      </c>
      <c r="L58">
        <v>4</v>
      </c>
      <c r="M58">
        <v>2</v>
      </c>
    </row>
    <row r="59" spans="1:13" x14ac:dyDescent="0.15">
      <c r="A59">
        <v>58</v>
      </c>
      <c r="B59" t="s">
        <v>174</v>
      </c>
      <c r="C59" t="s">
        <v>175</v>
      </c>
      <c r="D59" t="s">
        <v>15</v>
      </c>
      <c r="E59" t="s">
        <v>16</v>
      </c>
      <c r="F59" t="s">
        <v>176</v>
      </c>
      <c r="G59">
        <v>2</v>
      </c>
      <c r="H59">
        <v>1500</v>
      </c>
      <c r="I59">
        <v>2200</v>
      </c>
      <c r="J59">
        <v>4600</v>
      </c>
      <c r="K59">
        <v>6</v>
      </c>
      <c r="L59">
        <v>4</v>
      </c>
      <c r="M59">
        <v>2</v>
      </c>
    </row>
    <row r="60" spans="1:13" x14ac:dyDescent="0.15">
      <c r="A60">
        <v>59</v>
      </c>
      <c r="B60" t="s">
        <v>177</v>
      </c>
      <c r="C60" t="s">
        <v>30</v>
      </c>
      <c r="D60" t="s">
        <v>15</v>
      </c>
      <c r="E60" t="s">
        <v>16</v>
      </c>
      <c r="F60" t="s">
        <v>178</v>
      </c>
      <c r="G60">
        <v>2</v>
      </c>
      <c r="H60">
        <v>1800</v>
      </c>
      <c r="I60">
        <v>2100</v>
      </c>
      <c r="J60">
        <v>3197</v>
      </c>
      <c r="K60">
        <v>19</v>
      </c>
      <c r="L60">
        <v>4</v>
      </c>
      <c r="M60">
        <v>4</v>
      </c>
    </row>
    <row r="61" spans="1:13" x14ac:dyDescent="0.15">
      <c r="A61">
        <v>60</v>
      </c>
      <c r="B61" t="s">
        <v>179</v>
      </c>
      <c r="C61" t="s">
        <v>180</v>
      </c>
      <c r="D61" t="s">
        <v>15</v>
      </c>
      <c r="E61" t="s">
        <v>16</v>
      </c>
      <c r="F61" t="s">
        <v>181</v>
      </c>
      <c r="G61">
        <v>2</v>
      </c>
      <c r="H61">
        <v>2300</v>
      </c>
      <c r="I61">
        <v>7000</v>
      </c>
      <c r="J61">
        <v>4000</v>
      </c>
      <c r="K61">
        <v>20</v>
      </c>
      <c r="L61">
        <v>4</v>
      </c>
      <c r="M61">
        <v>2</v>
      </c>
    </row>
    <row r="62" spans="1:13" x14ac:dyDescent="0.15">
      <c r="A62">
        <v>61</v>
      </c>
      <c r="B62" t="s">
        <v>182</v>
      </c>
      <c r="C62" t="s">
        <v>183</v>
      </c>
      <c r="D62" t="s">
        <v>83</v>
      </c>
      <c r="E62" t="s">
        <v>84</v>
      </c>
      <c r="F62" t="s">
        <v>184</v>
      </c>
      <c r="G62">
        <v>2</v>
      </c>
      <c r="H62">
        <v>2500</v>
      </c>
      <c r="I62">
        <v>7999</v>
      </c>
      <c r="J62">
        <v>3999</v>
      </c>
      <c r="K62">
        <v>36</v>
      </c>
      <c r="L62">
        <v>4</v>
      </c>
      <c r="M62">
        <v>2</v>
      </c>
    </row>
    <row r="63" spans="1:13" x14ac:dyDescent="0.15">
      <c r="A63">
        <v>62</v>
      </c>
      <c r="B63" t="s">
        <v>185</v>
      </c>
      <c r="C63" t="s">
        <v>52</v>
      </c>
      <c r="D63" t="s">
        <v>15</v>
      </c>
      <c r="E63" t="s">
        <v>16</v>
      </c>
      <c r="F63" t="s">
        <v>186</v>
      </c>
      <c r="G63">
        <v>2</v>
      </c>
      <c r="H63">
        <v>1600</v>
      </c>
      <c r="I63">
        <v>3900</v>
      </c>
      <c r="J63">
        <v>6000</v>
      </c>
      <c r="K63">
        <v>13</v>
      </c>
      <c r="L63">
        <v>4</v>
      </c>
      <c r="M63">
        <v>3</v>
      </c>
    </row>
    <row r="64" spans="1:13" x14ac:dyDescent="0.15">
      <c r="A64">
        <v>63</v>
      </c>
      <c r="B64" t="s">
        <v>187</v>
      </c>
      <c r="C64" t="s">
        <v>188</v>
      </c>
      <c r="D64" t="s">
        <v>15</v>
      </c>
      <c r="E64" t="s">
        <v>16</v>
      </c>
      <c r="F64" t="s">
        <v>189</v>
      </c>
      <c r="G64">
        <v>2</v>
      </c>
      <c r="H64">
        <v>2000</v>
      </c>
      <c r="I64">
        <v>7000</v>
      </c>
      <c r="J64">
        <v>8000</v>
      </c>
      <c r="K64">
        <v>24</v>
      </c>
      <c r="L64">
        <v>4</v>
      </c>
      <c r="M64">
        <v>4</v>
      </c>
    </row>
    <row r="65" spans="1:13" x14ac:dyDescent="0.15">
      <c r="A65">
        <v>64</v>
      </c>
      <c r="B65" t="s">
        <v>190</v>
      </c>
      <c r="C65" t="s">
        <v>191</v>
      </c>
      <c r="D65" t="s">
        <v>15</v>
      </c>
      <c r="E65" t="s">
        <v>16</v>
      </c>
      <c r="F65" t="s">
        <v>192</v>
      </c>
      <c r="G65">
        <v>2</v>
      </c>
      <c r="H65">
        <v>1800</v>
      </c>
      <c r="I65">
        <v>2600</v>
      </c>
      <c r="J65">
        <v>10000</v>
      </c>
      <c r="K65">
        <v>24</v>
      </c>
      <c r="L65">
        <v>3</v>
      </c>
      <c r="M65">
        <v>2</v>
      </c>
    </row>
    <row r="66" spans="1:13" x14ac:dyDescent="0.15">
      <c r="A66">
        <v>65</v>
      </c>
      <c r="B66" t="s">
        <v>190</v>
      </c>
      <c r="C66" t="s">
        <v>193</v>
      </c>
      <c r="D66" t="s">
        <v>15</v>
      </c>
      <c r="E66" t="s">
        <v>16</v>
      </c>
      <c r="F66" t="s">
        <v>194</v>
      </c>
      <c r="G66">
        <v>2</v>
      </c>
      <c r="H66">
        <v>1800</v>
      </c>
      <c r="I66">
        <v>4500</v>
      </c>
      <c r="J66">
        <v>5500</v>
      </c>
      <c r="K66">
        <v>14</v>
      </c>
      <c r="L66">
        <v>4</v>
      </c>
      <c r="M66">
        <v>2</v>
      </c>
    </row>
    <row r="67" spans="1:13" x14ac:dyDescent="0.15">
      <c r="A67">
        <v>66</v>
      </c>
      <c r="B67" t="s">
        <v>195</v>
      </c>
      <c r="C67" t="s">
        <v>196</v>
      </c>
      <c r="D67" t="s">
        <v>15</v>
      </c>
      <c r="E67" t="s">
        <v>16</v>
      </c>
      <c r="F67" t="s">
        <v>197</v>
      </c>
      <c r="G67">
        <v>2</v>
      </c>
      <c r="H67">
        <v>1600</v>
      </c>
      <c r="I67">
        <v>1700</v>
      </c>
      <c r="J67">
        <v>1800</v>
      </c>
      <c r="K67">
        <v>16</v>
      </c>
      <c r="L67">
        <v>4</v>
      </c>
      <c r="M67">
        <v>2</v>
      </c>
    </row>
    <row r="68" spans="1:13" x14ac:dyDescent="0.15">
      <c r="A68">
        <v>67</v>
      </c>
      <c r="B68" t="s">
        <v>198</v>
      </c>
      <c r="C68" t="s">
        <v>199</v>
      </c>
      <c r="D68" t="s">
        <v>15</v>
      </c>
      <c r="E68" t="s">
        <v>16</v>
      </c>
      <c r="F68" t="s">
        <v>200</v>
      </c>
      <c r="G68">
        <v>1</v>
      </c>
      <c r="H68">
        <v>2200</v>
      </c>
      <c r="I68">
        <v>2400</v>
      </c>
      <c r="J68">
        <v>8500</v>
      </c>
      <c r="K68">
        <v>16</v>
      </c>
      <c r="L68">
        <v>1</v>
      </c>
      <c r="M68">
        <v>2</v>
      </c>
    </row>
    <row r="69" spans="1:13" x14ac:dyDescent="0.15">
      <c r="A69">
        <v>68</v>
      </c>
      <c r="B69" t="s">
        <v>201</v>
      </c>
      <c r="C69" t="s">
        <v>120</v>
      </c>
      <c r="D69" t="s">
        <v>15</v>
      </c>
      <c r="E69" t="s">
        <v>16</v>
      </c>
      <c r="F69" t="s">
        <v>202</v>
      </c>
      <c r="G69">
        <v>2</v>
      </c>
      <c r="H69">
        <v>2500</v>
      </c>
      <c r="I69">
        <v>5299</v>
      </c>
      <c r="J69">
        <v>9600</v>
      </c>
      <c r="K69">
        <v>21</v>
      </c>
      <c r="L69">
        <v>4</v>
      </c>
      <c r="M69">
        <v>1</v>
      </c>
    </row>
    <row r="70" spans="1:13" x14ac:dyDescent="0.15">
      <c r="A70">
        <v>69</v>
      </c>
      <c r="B70" t="s">
        <v>203</v>
      </c>
      <c r="C70" t="s">
        <v>204</v>
      </c>
      <c r="D70" t="s">
        <v>15</v>
      </c>
      <c r="E70" t="s">
        <v>16</v>
      </c>
      <c r="F70" t="s">
        <v>205</v>
      </c>
      <c r="G70">
        <v>2</v>
      </c>
      <c r="H70">
        <v>1500</v>
      </c>
      <c r="I70">
        <v>2300</v>
      </c>
      <c r="J70">
        <v>3000</v>
      </c>
      <c r="K70">
        <v>18</v>
      </c>
      <c r="L70">
        <v>4</v>
      </c>
      <c r="M70">
        <v>2</v>
      </c>
    </row>
    <row r="71" spans="1:13" x14ac:dyDescent="0.15">
      <c r="A71">
        <v>70</v>
      </c>
      <c r="B71" t="s">
        <v>206</v>
      </c>
      <c r="C71" t="s">
        <v>207</v>
      </c>
      <c r="D71" t="s">
        <v>15</v>
      </c>
      <c r="E71" t="s">
        <v>16</v>
      </c>
      <c r="F71" t="s">
        <v>208</v>
      </c>
      <c r="G71">
        <v>2</v>
      </c>
      <c r="H71">
        <v>1000</v>
      </c>
      <c r="I71">
        <v>3499</v>
      </c>
      <c r="J71">
        <v>4400</v>
      </c>
      <c r="K71">
        <v>18</v>
      </c>
      <c r="L71">
        <v>4</v>
      </c>
      <c r="M71">
        <v>2</v>
      </c>
    </row>
    <row r="72" spans="1:13" x14ac:dyDescent="0.15">
      <c r="A72">
        <v>71</v>
      </c>
      <c r="B72" t="s">
        <v>209</v>
      </c>
      <c r="C72" t="s">
        <v>210</v>
      </c>
      <c r="D72" t="s">
        <v>15</v>
      </c>
      <c r="E72" t="s">
        <v>16</v>
      </c>
      <c r="F72" t="s">
        <v>211</v>
      </c>
      <c r="G72">
        <v>2</v>
      </c>
      <c r="H72">
        <v>800</v>
      </c>
      <c r="I72">
        <v>5499</v>
      </c>
      <c r="J72">
        <v>8999</v>
      </c>
      <c r="K72">
        <v>14</v>
      </c>
      <c r="L72">
        <v>4</v>
      </c>
      <c r="M72">
        <v>2</v>
      </c>
    </row>
    <row r="73" spans="1:13" x14ac:dyDescent="0.15">
      <c r="A73">
        <v>72</v>
      </c>
      <c r="B73" t="s">
        <v>209</v>
      </c>
      <c r="C73" t="s">
        <v>212</v>
      </c>
      <c r="D73" t="s">
        <v>15</v>
      </c>
      <c r="E73" t="s">
        <v>16</v>
      </c>
      <c r="F73" t="s">
        <v>213</v>
      </c>
      <c r="G73">
        <v>2</v>
      </c>
      <c r="H73">
        <v>1500</v>
      </c>
      <c r="I73">
        <v>6000</v>
      </c>
      <c r="J73">
        <v>6000</v>
      </c>
      <c r="K73">
        <v>12</v>
      </c>
      <c r="L73">
        <v>4</v>
      </c>
      <c r="M73">
        <v>4</v>
      </c>
    </row>
    <row r="74" spans="1:13" x14ac:dyDescent="0.15">
      <c r="A74">
        <v>73</v>
      </c>
      <c r="B74" t="s">
        <v>214</v>
      </c>
      <c r="C74" t="s">
        <v>163</v>
      </c>
      <c r="D74" t="s">
        <v>15</v>
      </c>
      <c r="E74" t="s">
        <v>16</v>
      </c>
      <c r="F74" t="s">
        <v>215</v>
      </c>
      <c r="G74">
        <v>2</v>
      </c>
      <c r="H74">
        <v>1500</v>
      </c>
      <c r="I74">
        <v>1800</v>
      </c>
      <c r="J74">
        <v>0</v>
      </c>
      <c r="K74">
        <v>0</v>
      </c>
      <c r="L74">
        <v>4</v>
      </c>
      <c r="M74">
        <v>2</v>
      </c>
    </row>
    <row r="75" spans="1:13" x14ac:dyDescent="0.15">
      <c r="A75">
        <v>74</v>
      </c>
      <c r="B75" t="s">
        <v>216</v>
      </c>
      <c r="C75" t="s">
        <v>217</v>
      </c>
      <c r="D75" t="s">
        <v>15</v>
      </c>
      <c r="E75" t="s">
        <v>16</v>
      </c>
      <c r="F75" t="s">
        <v>218</v>
      </c>
      <c r="G75">
        <v>1</v>
      </c>
      <c r="H75">
        <v>1500</v>
      </c>
      <c r="I75">
        <v>1600</v>
      </c>
      <c r="J75">
        <v>6500</v>
      </c>
      <c r="K75">
        <v>15</v>
      </c>
      <c r="L75">
        <v>1</v>
      </c>
      <c r="M75">
        <v>3</v>
      </c>
    </row>
    <row r="76" spans="1:13" x14ac:dyDescent="0.15">
      <c r="A76">
        <v>75</v>
      </c>
      <c r="B76" t="s">
        <v>219</v>
      </c>
      <c r="C76" t="s">
        <v>220</v>
      </c>
      <c r="D76" t="s">
        <v>83</v>
      </c>
      <c r="E76" t="s">
        <v>84</v>
      </c>
      <c r="F76" t="s">
        <v>221</v>
      </c>
      <c r="G76">
        <v>2</v>
      </c>
      <c r="H76">
        <v>2000</v>
      </c>
      <c r="I76">
        <v>5500</v>
      </c>
      <c r="J76">
        <v>5000</v>
      </c>
      <c r="K76">
        <v>18</v>
      </c>
      <c r="L76">
        <v>4</v>
      </c>
      <c r="M76">
        <v>2</v>
      </c>
    </row>
    <row r="77" spans="1:13" x14ac:dyDescent="0.15">
      <c r="A77">
        <v>76</v>
      </c>
      <c r="B77" t="s">
        <v>219</v>
      </c>
      <c r="C77" t="s">
        <v>222</v>
      </c>
      <c r="D77" t="s">
        <v>15</v>
      </c>
      <c r="E77" t="s">
        <v>16</v>
      </c>
      <c r="F77" t="s">
        <v>223</v>
      </c>
      <c r="G77">
        <v>2</v>
      </c>
      <c r="H77">
        <v>10000</v>
      </c>
      <c r="I77">
        <v>1700</v>
      </c>
      <c r="J77">
        <v>4900</v>
      </c>
      <c r="K77">
        <v>19</v>
      </c>
      <c r="L77">
        <v>4</v>
      </c>
      <c r="M77">
        <v>4</v>
      </c>
    </row>
    <row r="78" spans="1:13" x14ac:dyDescent="0.15">
      <c r="A78">
        <v>77</v>
      </c>
      <c r="B78" t="s">
        <v>224</v>
      </c>
      <c r="C78" t="s">
        <v>87</v>
      </c>
      <c r="D78" t="s">
        <v>83</v>
      </c>
      <c r="E78" t="s">
        <v>84</v>
      </c>
      <c r="F78" t="s">
        <v>225</v>
      </c>
      <c r="G78">
        <v>2</v>
      </c>
      <c r="H78">
        <v>2700</v>
      </c>
      <c r="I78">
        <v>5800</v>
      </c>
      <c r="J78">
        <v>5400</v>
      </c>
      <c r="K78">
        <v>30</v>
      </c>
      <c r="L78">
        <v>4</v>
      </c>
      <c r="M78">
        <v>1</v>
      </c>
    </row>
    <row r="79" spans="1:13" x14ac:dyDescent="0.15">
      <c r="A79">
        <v>78</v>
      </c>
      <c r="B79" t="s">
        <v>224</v>
      </c>
      <c r="C79" t="s">
        <v>226</v>
      </c>
      <c r="D79" t="s">
        <v>15</v>
      </c>
      <c r="E79" t="s">
        <v>16</v>
      </c>
      <c r="F79" t="s">
        <v>227</v>
      </c>
      <c r="G79">
        <v>2</v>
      </c>
      <c r="H79">
        <v>1500</v>
      </c>
      <c r="I79">
        <v>5000</v>
      </c>
      <c r="J79">
        <v>5000</v>
      </c>
      <c r="K79">
        <v>12</v>
      </c>
      <c r="L79">
        <v>4</v>
      </c>
      <c r="M79">
        <v>2</v>
      </c>
    </row>
    <row r="80" spans="1:13" x14ac:dyDescent="0.15">
      <c r="A80">
        <v>79</v>
      </c>
      <c r="B80" t="s">
        <v>228</v>
      </c>
      <c r="C80" t="s">
        <v>229</v>
      </c>
      <c r="D80" t="s">
        <v>15</v>
      </c>
      <c r="E80" t="s">
        <v>16</v>
      </c>
      <c r="F80" t="s">
        <v>230</v>
      </c>
      <c r="G80">
        <v>2</v>
      </c>
      <c r="H80">
        <v>2500</v>
      </c>
      <c r="I80">
        <v>6999</v>
      </c>
      <c r="J80">
        <v>7688</v>
      </c>
      <c r="K80">
        <v>12</v>
      </c>
      <c r="L80">
        <v>1</v>
      </c>
      <c r="M80">
        <v>2</v>
      </c>
    </row>
    <row r="81" spans="1:13" x14ac:dyDescent="0.15">
      <c r="A81">
        <v>80</v>
      </c>
      <c r="B81" t="s">
        <v>228</v>
      </c>
      <c r="C81" t="s">
        <v>231</v>
      </c>
      <c r="D81" t="s">
        <v>15</v>
      </c>
      <c r="E81" t="s">
        <v>16</v>
      </c>
      <c r="F81" t="s">
        <v>232</v>
      </c>
      <c r="G81">
        <v>2</v>
      </c>
      <c r="H81">
        <v>1500</v>
      </c>
      <c r="I81">
        <v>2500</v>
      </c>
      <c r="J81">
        <v>3800</v>
      </c>
      <c r="K81">
        <v>12</v>
      </c>
      <c r="L81">
        <v>4</v>
      </c>
      <c r="M81">
        <v>2</v>
      </c>
    </row>
    <row r="82" spans="1:13" x14ac:dyDescent="0.15">
      <c r="A82">
        <v>81</v>
      </c>
      <c r="B82" t="s">
        <v>233</v>
      </c>
      <c r="C82" t="s">
        <v>234</v>
      </c>
      <c r="D82" t="s">
        <v>15</v>
      </c>
      <c r="E82" t="s">
        <v>16</v>
      </c>
      <c r="F82" t="s">
        <v>235</v>
      </c>
      <c r="G82">
        <v>2</v>
      </c>
      <c r="H82">
        <v>1500</v>
      </c>
      <c r="I82">
        <v>2000</v>
      </c>
      <c r="J82">
        <v>2000</v>
      </c>
      <c r="K82">
        <v>24</v>
      </c>
      <c r="L82">
        <v>4</v>
      </c>
      <c r="M82">
        <v>4</v>
      </c>
    </row>
    <row r="83" spans="1:13" x14ac:dyDescent="0.15">
      <c r="A83">
        <v>82</v>
      </c>
      <c r="B83" t="s">
        <v>236</v>
      </c>
      <c r="C83" t="s">
        <v>237</v>
      </c>
      <c r="D83" t="s">
        <v>15</v>
      </c>
      <c r="E83" t="s">
        <v>16</v>
      </c>
      <c r="F83" t="s">
        <v>238</v>
      </c>
      <c r="G83">
        <v>2</v>
      </c>
      <c r="H83">
        <v>2700</v>
      </c>
      <c r="I83">
        <v>6999</v>
      </c>
      <c r="J83">
        <v>4988</v>
      </c>
      <c r="K83">
        <v>18</v>
      </c>
      <c r="L83">
        <v>4</v>
      </c>
      <c r="M83">
        <v>2</v>
      </c>
    </row>
    <row r="84" spans="1:13" x14ac:dyDescent="0.15">
      <c r="A84">
        <v>83</v>
      </c>
      <c r="B84" t="s">
        <v>239</v>
      </c>
      <c r="C84" t="s">
        <v>237</v>
      </c>
      <c r="D84" t="s">
        <v>15</v>
      </c>
      <c r="E84" t="s">
        <v>16</v>
      </c>
      <c r="F84" t="s">
        <v>56</v>
      </c>
      <c r="G84">
        <v>2</v>
      </c>
      <c r="H84">
        <v>2000</v>
      </c>
      <c r="I84">
        <v>3000</v>
      </c>
      <c r="J84">
        <v>4000</v>
      </c>
      <c r="K84">
        <v>18</v>
      </c>
      <c r="L84">
        <v>4</v>
      </c>
      <c r="M84">
        <v>4</v>
      </c>
    </row>
    <row r="85" spans="1:13" x14ac:dyDescent="0.15">
      <c r="A85">
        <v>84</v>
      </c>
      <c r="B85" t="s">
        <v>240</v>
      </c>
      <c r="C85" t="s">
        <v>241</v>
      </c>
      <c r="D85" t="s">
        <v>15</v>
      </c>
      <c r="E85" t="s">
        <v>16</v>
      </c>
      <c r="F85" t="s">
        <v>242</v>
      </c>
      <c r="G85">
        <v>2</v>
      </c>
      <c r="H85">
        <v>2000</v>
      </c>
      <c r="I85">
        <v>8900</v>
      </c>
      <c r="J85">
        <v>5000</v>
      </c>
      <c r="K85">
        <v>18</v>
      </c>
      <c r="L85">
        <v>4</v>
      </c>
      <c r="M85">
        <v>2</v>
      </c>
    </row>
    <row r="86" spans="1:13" x14ac:dyDescent="0.15">
      <c r="A86">
        <v>85</v>
      </c>
      <c r="B86" t="s">
        <v>243</v>
      </c>
      <c r="C86" t="s">
        <v>244</v>
      </c>
      <c r="D86" t="s">
        <v>15</v>
      </c>
      <c r="E86" t="s">
        <v>16</v>
      </c>
      <c r="F86" t="s">
        <v>245</v>
      </c>
      <c r="G86">
        <v>2</v>
      </c>
      <c r="H86">
        <v>2400</v>
      </c>
      <c r="I86">
        <v>4200</v>
      </c>
      <c r="J86">
        <v>8000</v>
      </c>
      <c r="K86">
        <v>36</v>
      </c>
      <c r="L86">
        <v>1</v>
      </c>
      <c r="M86">
        <v>3</v>
      </c>
    </row>
    <row r="87" spans="1:13" x14ac:dyDescent="0.15">
      <c r="A87">
        <v>86</v>
      </c>
      <c r="B87" t="s">
        <v>246</v>
      </c>
      <c r="C87" t="s">
        <v>247</v>
      </c>
      <c r="D87" t="s">
        <v>15</v>
      </c>
      <c r="E87" t="s">
        <v>16</v>
      </c>
      <c r="F87" t="s">
        <v>248</v>
      </c>
      <c r="G87">
        <v>2</v>
      </c>
      <c r="H87">
        <v>2300</v>
      </c>
      <c r="I87">
        <v>1600</v>
      </c>
      <c r="J87">
        <v>3600</v>
      </c>
      <c r="K87">
        <v>48</v>
      </c>
      <c r="L87">
        <v>3</v>
      </c>
      <c r="M87">
        <v>4</v>
      </c>
    </row>
    <row r="88" spans="1:13" x14ac:dyDescent="0.15">
      <c r="A88">
        <v>87</v>
      </c>
      <c r="B88" t="s">
        <v>249</v>
      </c>
      <c r="C88" t="s">
        <v>250</v>
      </c>
      <c r="D88" t="s">
        <v>15</v>
      </c>
      <c r="E88" t="s">
        <v>16</v>
      </c>
      <c r="F88" t="s">
        <v>251</v>
      </c>
      <c r="G88">
        <v>2</v>
      </c>
      <c r="H88">
        <v>1300</v>
      </c>
      <c r="I88">
        <v>3300</v>
      </c>
      <c r="J88">
        <v>2300</v>
      </c>
      <c r="K88">
        <v>6</v>
      </c>
      <c r="L88">
        <v>2</v>
      </c>
      <c r="M88">
        <v>2</v>
      </c>
    </row>
    <row r="89" spans="1:13" x14ac:dyDescent="0.15">
      <c r="A89">
        <v>88</v>
      </c>
      <c r="B89" t="s">
        <v>252</v>
      </c>
      <c r="C89" t="s">
        <v>191</v>
      </c>
      <c r="D89" t="s">
        <v>83</v>
      </c>
      <c r="E89" t="s">
        <v>84</v>
      </c>
      <c r="F89" t="s">
        <v>205</v>
      </c>
      <c r="G89">
        <v>2</v>
      </c>
      <c r="H89">
        <v>2300</v>
      </c>
      <c r="I89">
        <v>5100</v>
      </c>
      <c r="J89">
        <v>3800</v>
      </c>
      <c r="K89">
        <v>17</v>
      </c>
      <c r="L89">
        <v>4</v>
      </c>
      <c r="M89">
        <v>2</v>
      </c>
    </row>
    <row r="90" spans="1:13" x14ac:dyDescent="0.15">
      <c r="A90">
        <v>89</v>
      </c>
      <c r="B90" t="s">
        <v>253</v>
      </c>
      <c r="C90" t="s">
        <v>254</v>
      </c>
      <c r="D90" t="s">
        <v>46</v>
      </c>
      <c r="E90" t="s">
        <v>16</v>
      </c>
      <c r="F90" t="s">
        <v>255</v>
      </c>
      <c r="G90">
        <v>2</v>
      </c>
      <c r="H90">
        <v>2000</v>
      </c>
      <c r="I90">
        <v>2500</v>
      </c>
      <c r="J90">
        <v>4400</v>
      </c>
      <c r="K90">
        <v>15</v>
      </c>
      <c r="L90">
        <v>4</v>
      </c>
      <c r="M90">
        <v>2</v>
      </c>
    </row>
    <row r="91" spans="1:13" x14ac:dyDescent="0.15">
      <c r="A91">
        <v>90</v>
      </c>
      <c r="B91" t="s">
        <v>256</v>
      </c>
      <c r="C91" t="s">
        <v>257</v>
      </c>
      <c r="D91" t="s">
        <v>15</v>
      </c>
      <c r="E91" t="s">
        <v>16</v>
      </c>
      <c r="F91" t="s">
        <v>176</v>
      </c>
      <c r="G91">
        <v>2</v>
      </c>
      <c r="H91">
        <v>2500</v>
      </c>
      <c r="I91">
        <v>1400</v>
      </c>
      <c r="J91">
        <v>2900</v>
      </c>
      <c r="K91">
        <v>24</v>
      </c>
      <c r="L91">
        <v>4</v>
      </c>
      <c r="M91">
        <v>2</v>
      </c>
    </row>
    <row r="92" spans="1:13" x14ac:dyDescent="0.15">
      <c r="A92">
        <v>91</v>
      </c>
      <c r="B92" t="s">
        <v>258</v>
      </c>
      <c r="C92" t="s">
        <v>259</v>
      </c>
      <c r="D92" t="s">
        <v>15</v>
      </c>
      <c r="E92" t="s">
        <v>16</v>
      </c>
      <c r="F92" t="s">
        <v>260</v>
      </c>
      <c r="G92">
        <v>2</v>
      </c>
      <c r="H92">
        <v>2100</v>
      </c>
      <c r="I92">
        <v>3000</v>
      </c>
      <c r="J92">
        <v>5000</v>
      </c>
      <c r="K92">
        <v>19</v>
      </c>
      <c r="L92">
        <v>4</v>
      </c>
      <c r="M92">
        <v>2</v>
      </c>
    </row>
    <row r="93" spans="1:13" x14ac:dyDescent="0.15">
      <c r="A93">
        <v>92</v>
      </c>
      <c r="B93" t="s">
        <v>261</v>
      </c>
      <c r="C93" t="s">
        <v>262</v>
      </c>
      <c r="D93" t="s">
        <v>83</v>
      </c>
      <c r="E93" t="s">
        <v>84</v>
      </c>
      <c r="F93" t="s">
        <v>263</v>
      </c>
      <c r="G93">
        <v>2</v>
      </c>
      <c r="H93">
        <v>1800</v>
      </c>
      <c r="I93">
        <v>6100</v>
      </c>
      <c r="J93">
        <v>3000</v>
      </c>
      <c r="K93">
        <v>48</v>
      </c>
      <c r="L93">
        <v>4</v>
      </c>
      <c r="M93">
        <v>2</v>
      </c>
    </row>
    <row r="94" spans="1:13" x14ac:dyDescent="0.15">
      <c r="A94">
        <v>93</v>
      </c>
      <c r="B94" t="s">
        <v>264</v>
      </c>
      <c r="C94" t="s">
        <v>191</v>
      </c>
      <c r="D94" t="s">
        <v>15</v>
      </c>
      <c r="E94" t="s">
        <v>16</v>
      </c>
      <c r="F94" t="s">
        <v>265</v>
      </c>
      <c r="G94">
        <v>2</v>
      </c>
      <c r="H94">
        <v>1500</v>
      </c>
      <c r="I94">
        <v>1500</v>
      </c>
      <c r="J94">
        <v>2300</v>
      </c>
      <c r="K94">
        <v>20</v>
      </c>
      <c r="L94">
        <v>4</v>
      </c>
      <c r="M94">
        <v>4</v>
      </c>
    </row>
    <row r="95" spans="1:13" x14ac:dyDescent="0.15">
      <c r="A95">
        <v>94</v>
      </c>
      <c r="B95" t="s">
        <v>266</v>
      </c>
      <c r="C95" t="s">
        <v>267</v>
      </c>
      <c r="D95" t="s">
        <v>15</v>
      </c>
      <c r="E95" t="s">
        <v>16</v>
      </c>
      <c r="F95" t="s">
        <v>268</v>
      </c>
      <c r="G95">
        <v>2</v>
      </c>
      <c r="H95">
        <v>1500</v>
      </c>
      <c r="I95">
        <v>9000</v>
      </c>
      <c r="J95">
        <v>5000</v>
      </c>
      <c r="K95">
        <v>9</v>
      </c>
      <c r="L95">
        <v>3</v>
      </c>
      <c r="M95">
        <v>4</v>
      </c>
    </row>
    <row r="96" spans="1:13" x14ac:dyDescent="0.15">
      <c r="A96">
        <v>95</v>
      </c>
      <c r="B96" t="s">
        <v>269</v>
      </c>
      <c r="C96" t="s">
        <v>270</v>
      </c>
      <c r="D96" t="s">
        <v>15</v>
      </c>
      <c r="E96" t="s">
        <v>16</v>
      </c>
      <c r="F96" t="s">
        <v>271</v>
      </c>
      <c r="G96">
        <v>2</v>
      </c>
      <c r="H96">
        <v>1700</v>
      </c>
      <c r="I96">
        <v>2900</v>
      </c>
      <c r="J96">
        <v>3700</v>
      </c>
      <c r="K96">
        <v>6</v>
      </c>
      <c r="L96">
        <v>4</v>
      </c>
      <c r="M96">
        <v>2</v>
      </c>
    </row>
    <row r="97" spans="1:13" x14ac:dyDescent="0.15">
      <c r="A97">
        <v>96</v>
      </c>
      <c r="B97" t="s">
        <v>272</v>
      </c>
      <c r="C97" t="s">
        <v>273</v>
      </c>
      <c r="D97" t="s">
        <v>15</v>
      </c>
      <c r="E97" t="s">
        <v>16</v>
      </c>
      <c r="F97" t="s">
        <v>274</v>
      </c>
      <c r="G97">
        <v>2</v>
      </c>
      <c r="H97">
        <v>18800</v>
      </c>
      <c r="I97">
        <v>4900</v>
      </c>
      <c r="J97">
        <v>6500</v>
      </c>
      <c r="K97">
        <v>24</v>
      </c>
      <c r="L97">
        <v>4</v>
      </c>
      <c r="M97">
        <v>2</v>
      </c>
    </row>
    <row r="98" spans="1:13" x14ac:dyDescent="0.15">
      <c r="A98">
        <v>97</v>
      </c>
      <c r="B98" t="s">
        <v>272</v>
      </c>
      <c r="C98" t="s">
        <v>275</v>
      </c>
      <c r="D98" t="s">
        <v>46</v>
      </c>
      <c r="E98" t="s">
        <v>16</v>
      </c>
      <c r="F98" t="s">
        <v>276</v>
      </c>
      <c r="G98">
        <v>2</v>
      </c>
      <c r="H98">
        <v>2000</v>
      </c>
      <c r="I98">
        <v>3300</v>
      </c>
      <c r="J98">
        <v>5500</v>
      </c>
      <c r="K98">
        <v>24</v>
      </c>
      <c r="L98">
        <v>1</v>
      </c>
      <c r="M98">
        <v>2</v>
      </c>
    </row>
    <row r="99" spans="1:13" x14ac:dyDescent="0.15">
      <c r="A99">
        <v>98</v>
      </c>
      <c r="B99" t="s">
        <v>277</v>
      </c>
      <c r="C99" t="s">
        <v>278</v>
      </c>
      <c r="D99" t="s">
        <v>15</v>
      </c>
      <c r="E99" t="s">
        <v>16</v>
      </c>
      <c r="F99" t="s">
        <v>279</v>
      </c>
      <c r="G99">
        <v>2</v>
      </c>
      <c r="H99">
        <v>1500</v>
      </c>
      <c r="I99">
        <v>12999</v>
      </c>
      <c r="J99">
        <v>3000</v>
      </c>
      <c r="K99">
        <v>18</v>
      </c>
      <c r="L99">
        <v>3</v>
      </c>
      <c r="M99">
        <v>2</v>
      </c>
    </row>
    <row r="100" spans="1:13" x14ac:dyDescent="0.15">
      <c r="A100">
        <v>99</v>
      </c>
      <c r="B100" t="s">
        <v>280</v>
      </c>
      <c r="C100" t="s">
        <v>281</v>
      </c>
      <c r="D100" t="s">
        <v>15</v>
      </c>
      <c r="E100" t="s">
        <v>16</v>
      </c>
      <c r="F100" t="s">
        <v>282</v>
      </c>
      <c r="G100">
        <v>2</v>
      </c>
      <c r="H100">
        <v>1000</v>
      </c>
      <c r="I100">
        <v>2600</v>
      </c>
      <c r="J100">
        <v>4299</v>
      </c>
      <c r="K100">
        <v>5</v>
      </c>
      <c r="L100">
        <v>4</v>
      </c>
      <c r="M100">
        <v>2</v>
      </c>
    </row>
    <row r="101" spans="1:13" x14ac:dyDescent="0.15">
      <c r="A101">
        <v>100</v>
      </c>
      <c r="B101" t="s">
        <v>283</v>
      </c>
      <c r="C101" t="s">
        <v>284</v>
      </c>
      <c r="D101" t="s">
        <v>15</v>
      </c>
      <c r="E101" t="s">
        <v>16</v>
      </c>
      <c r="F101" t="s">
        <v>285</v>
      </c>
      <c r="G101">
        <v>2</v>
      </c>
      <c r="H101">
        <v>1500</v>
      </c>
      <c r="I101">
        <v>2700</v>
      </c>
      <c r="J101">
        <v>3200</v>
      </c>
      <c r="K101">
        <v>18</v>
      </c>
      <c r="L101">
        <v>4</v>
      </c>
      <c r="M101">
        <v>2</v>
      </c>
    </row>
    <row r="102" spans="1:13" x14ac:dyDescent="0.15">
      <c r="A102">
        <v>101</v>
      </c>
      <c r="B102" t="s">
        <v>286</v>
      </c>
      <c r="C102" t="s">
        <v>287</v>
      </c>
      <c r="D102" t="s">
        <v>15</v>
      </c>
      <c r="E102" t="s">
        <v>16</v>
      </c>
      <c r="F102" t="s">
        <v>288</v>
      </c>
      <c r="G102">
        <v>2</v>
      </c>
      <c r="H102">
        <v>1600</v>
      </c>
      <c r="I102">
        <v>6000</v>
      </c>
      <c r="J102">
        <v>7000</v>
      </c>
      <c r="K102">
        <v>20</v>
      </c>
      <c r="L102">
        <v>4</v>
      </c>
      <c r="M102">
        <v>2</v>
      </c>
    </row>
    <row r="103" spans="1:13" x14ac:dyDescent="0.15">
      <c r="A103">
        <v>102</v>
      </c>
      <c r="B103" t="s">
        <v>289</v>
      </c>
      <c r="C103" t="s">
        <v>290</v>
      </c>
      <c r="D103" t="s">
        <v>15</v>
      </c>
      <c r="E103" t="s">
        <v>16</v>
      </c>
      <c r="F103" t="s">
        <v>291</v>
      </c>
      <c r="G103">
        <v>1</v>
      </c>
      <c r="H103">
        <v>2200</v>
      </c>
      <c r="I103">
        <v>4000</v>
      </c>
      <c r="J103">
        <v>8000</v>
      </c>
      <c r="K103">
        <v>6</v>
      </c>
      <c r="L103">
        <v>4</v>
      </c>
      <c r="M103">
        <v>2</v>
      </c>
    </row>
    <row r="104" spans="1:13" x14ac:dyDescent="0.15">
      <c r="A104">
        <v>103</v>
      </c>
      <c r="B104" t="s">
        <v>292</v>
      </c>
      <c r="C104" t="s">
        <v>196</v>
      </c>
      <c r="D104" t="s">
        <v>15</v>
      </c>
      <c r="E104" t="s">
        <v>16</v>
      </c>
      <c r="F104" t="s">
        <v>293</v>
      </c>
      <c r="G104">
        <v>1</v>
      </c>
      <c r="H104">
        <v>1511</v>
      </c>
      <c r="I104">
        <v>6115</v>
      </c>
      <c r="J104">
        <v>6715</v>
      </c>
      <c r="K104">
        <v>18</v>
      </c>
      <c r="L104">
        <v>1</v>
      </c>
      <c r="M104">
        <v>1</v>
      </c>
    </row>
    <row r="105" spans="1:13" x14ac:dyDescent="0.15">
      <c r="A105">
        <v>104</v>
      </c>
      <c r="B105" t="s">
        <v>294</v>
      </c>
      <c r="C105" t="s">
        <v>295</v>
      </c>
      <c r="D105" t="s">
        <v>15</v>
      </c>
      <c r="E105" t="s">
        <v>16</v>
      </c>
      <c r="F105" t="s">
        <v>296</v>
      </c>
      <c r="G105">
        <v>1</v>
      </c>
      <c r="H105">
        <v>1500</v>
      </c>
      <c r="I105">
        <v>1614</v>
      </c>
      <c r="J105">
        <v>2599</v>
      </c>
      <c r="K105">
        <v>13</v>
      </c>
      <c r="L105">
        <v>4</v>
      </c>
      <c r="M105">
        <v>4</v>
      </c>
    </row>
    <row r="106" spans="1:13" x14ac:dyDescent="0.15">
      <c r="A106">
        <v>105</v>
      </c>
      <c r="B106" t="s">
        <v>297</v>
      </c>
      <c r="C106" t="s">
        <v>193</v>
      </c>
      <c r="D106" t="s">
        <v>15</v>
      </c>
      <c r="E106" t="s">
        <v>16</v>
      </c>
      <c r="F106" t="s">
        <v>298</v>
      </c>
      <c r="G106">
        <v>2</v>
      </c>
      <c r="H106">
        <v>2500</v>
      </c>
      <c r="I106">
        <v>7799</v>
      </c>
      <c r="J106">
        <v>8599</v>
      </c>
      <c r="K106">
        <v>8</v>
      </c>
      <c r="L106">
        <v>3</v>
      </c>
      <c r="M106">
        <v>1</v>
      </c>
    </row>
    <row r="107" spans="1:13" x14ac:dyDescent="0.15">
      <c r="A107">
        <v>106</v>
      </c>
      <c r="B107" t="s">
        <v>299</v>
      </c>
      <c r="C107" t="s">
        <v>210</v>
      </c>
      <c r="D107" t="s">
        <v>15</v>
      </c>
      <c r="E107" t="s">
        <v>16</v>
      </c>
      <c r="F107" t="s">
        <v>300</v>
      </c>
      <c r="G107">
        <v>2</v>
      </c>
      <c r="H107">
        <v>2500</v>
      </c>
      <c r="I107">
        <v>8100</v>
      </c>
      <c r="J107">
        <v>7200</v>
      </c>
      <c r="K107">
        <v>6</v>
      </c>
      <c r="L107">
        <v>4</v>
      </c>
      <c r="M107">
        <v>2</v>
      </c>
    </row>
    <row r="108" spans="1:13" x14ac:dyDescent="0.15">
      <c r="A108">
        <v>107</v>
      </c>
      <c r="B108" t="s">
        <v>301</v>
      </c>
      <c r="C108" t="s">
        <v>30</v>
      </c>
      <c r="D108" t="s">
        <v>15</v>
      </c>
      <c r="E108" t="s">
        <v>16</v>
      </c>
      <c r="F108" t="s">
        <v>302</v>
      </c>
      <c r="G108">
        <v>1</v>
      </c>
      <c r="H108">
        <v>2200</v>
      </c>
      <c r="I108">
        <v>5800</v>
      </c>
      <c r="J108">
        <v>6000</v>
      </c>
      <c r="K108">
        <v>18</v>
      </c>
      <c r="L108">
        <v>4</v>
      </c>
      <c r="M108">
        <v>4</v>
      </c>
    </row>
    <row r="109" spans="1:13" x14ac:dyDescent="0.15">
      <c r="A109">
        <v>108</v>
      </c>
      <c r="B109" t="s">
        <v>303</v>
      </c>
      <c r="C109" t="s">
        <v>304</v>
      </c>
      <c r="D109" t="s">
        <v>15</v>
      </c>
      <c r="E109" t="s">
        <v>16</v>
      </c>
      <c r="F109" t="s">
        <v>305</v>
      </c>
      <c r="G109">
        <v>1</v>
      </c>
      <c r="H109">
        <v>3000</v>
      </c>
      <c r="I109">
        <v>6000</v>
      </c>
      <c r="J109">
        <v>8000</v>
      </c>
      <c r="K109">
        <v>9</v>
      </c>
      <c r="L109">
        <v>1</v>
      </c>
      <c r="M109">
        <v>3</v>
      </c>
    </row>
    <row r="110" spans="1:13" x14ac:dyDescent="0.15">
      <c r="A110">
        <v>109</v>
      </c>
      <c r="B110" t="s">
        <v>306</v>
      </c>
      <c r="C110" t="s">
        <v>307</v>
      </c>
      <c r="D110" t="s">
        <v>15</v>
      </c>
      <c r="E110" t="s">
        <v>16</v>
      </c>
      <c r="F110" t="s">
        <v>308</v>
      </c>
      <c r="G110">
        <v>2</v>
      </c>
      <c r="H110">
        <v>3000</v>
      </c>
      <c r="I110">
        <v>5000</v>
      </c>
      <c r="J110">
        <v>7000</v>
      </c>
      <c r="K110">
        <v>6</v>
      </c>
      <c r="L110">
        <v>4</v>
      </c>
      <c r="M110">
        <v>1</v>
      </c>
    </row>
    <row r="111" spans="1:13" x14ac:dyDescent="0.15">
      <c r="A111">
        <v>110</v>
      </c>
      <c r="B111" t="s">
        <v>309</v>
      </c>
      <c r="C111" t="s">
        <v>310</v>
      </c>
      <c r="D111" t="s">
        <v>15</v>
      </c>
      <c r="E111" t="s">
        <v>16</v>
      </c>
      <c r="F111" t="s">
        <v>311</v>
      </c>
      <c r="G111">
        <v>2</v>
      </c>
      <c r="H111">
        <v>2000</v>
      </c>
      <c r="I111">
        <v>8600</v>
      </c>
      <c r="J111">
        <v>5000</v>
      </c>
      <c r="K111">
        <v>13</v>
      </c>
      <c r="L111">
        <v>4</v>
      </c>
      <c r="M111">
        <v>2</v>
      </c>
    </row>
    <row r="112" spans="1:13" x14ac:dyDescent="0.15">
      <c r="A112">
        <v>111</v>
      </c>
      <c r="B112" t="s">
        <v>312</v>
      </c>
      <c r="C112" t="s">
        <v>199</v>
      </c>
      <c r="D112" t="s">
        <v>15</v>
      </c>
      <c r="E112" t="s">
        <v>16</v>
      </c>
      <c r="F112" t="s">
        <v>313</v>
      </c>
      <c r="G112">
        <v>2</v>
      </c>
      <c r="H112">
        <v>3500</v>
      </c>
      <c r="I112">
        <v>12000</v>
      </c>
      <c r="J112">
        <v>32000</v>
      </c>
      <c r="K112">
        <v>6</v>
      </c>
      <c r="L112">
        <v>4</v>
      </c>
      <c r="M112">
        <v>1</v>
      </c>
    </row>
    <row r="113" spans="1:13" x14ac:dyDescent="0.15">
      <c r="A113">
        <v>112</v>
      </c>
      <c r="B113" t="s">
        <v>314</v>
      </c>
      <c r="C113" t="s">
        <v>55</v>
      </c>
      <c r="D113" t="s">
        <v>15</v>
      </c>
      <c r="E113" t="s">
        <v>16</v>
      </c>
      <c r="F113" t="s">
        <v>315</v>
      </c>
      <c r="G113">
        <v>2</v>
      </c>
      <c r="H113">
        <v>1900</v>
      </c>
      <c r="I113">
        <v>9999</v>
      </c>
      <c r="J113">
        <v>11999</v>
      </c>
      <c r="K113">
        <v>4</v>
      </c>
      <c r="L113">
        <v>1</v>
      </c>
      <c r="M113">
        <v>2</v>
      </c>
    </row>
    <row r="114" spans="1:13" x14ac:dyDescent="0.15">
      <c r="A114">
        <v>113</v>
      </c>
      <c r="B114" t="s">
        <v>316</v>
      </c>
      <c r="C114" t="s">
        <v>317</v>
      </c>
      <c r="D114" t="s">
        <v>15</v>
      </c>
      <c r="E114" t="s">
        <v>16</v>
      </c>
      <c r="F114" t="s">
        <v>318</v>
      </c>
      <c r="G114">
        <v>2</v>
      </c>
      <c r="H114">
        <v>4000</v>
      </c>
      <c r="I114">
        <v>8699</v>
      </c>
      <c r="J114">
        <v>4500</v>
      </c>
      <c r="K114">
        <v>42</v>
      </c>
      <c r="L114">
        <v>4</v>
      </c>
      <c r="M114">
        <v>1</v>
      </c>
    </row>
    <row r="115" spans="1:13" x14ac:dyDescent="0.15">
      <c r="A115">
        <v>114</v>
      </c>
      <c r="B115" t="s">
        <v>319</v>
      </c>
      <c r="C115" t="s">
        <v>320</v>
      </c>
      <c r="D115" t="s">
        <v>15</v>
      </c>
      <c r="E115" t="s">
        <v>16</v>
      </c>
      <c r="F115" t="s">
        <v>321</v>
      </c>
      <c r="G115">
        <v>2</v>
      </c>
      <c r="H115">
        <v>30000</v>
      </c>
      <c r="I115">
        <v>9000</v>
      </c>
      <c r="J115">
        <v>10000</v>
      </c>
      <c r="K115">
        <v>6</v>
      </c>
      <c r="L115">
        <v>4</v>
      </c>
      <c r="M115">
        <v>1</v>
      </c>
    </row>
    <row r="116" spans="1:13" x14ac:dyDescent="0.15">
      <c r="A116">
        <v>115</v>
      </c>
      <c r="B116" t="s">
        <v>322</v>
      </c>
      <c r="C116" t="s">
        <v>199</v>
      </c>
      <c r="D116" t="s">
        <v>15</v>
      </c>
      <c r="E116" t="s">
        <v>16</v>
      </c>
      <c r="F116" t="s">
        <v>323</v>
      </c>
      <c r="G116">
        <v>2</v>
      </c>
      <c r="H116">
        <v>5000</v>
      </c>
      <c r="I116">
        <v>10000</v>
      </c>
      <c r="J116">
        <v>8000</v>
      </c>
      <c r="K116">
        <v>36</v>
      </c>
      <c r="L116">
        <v>4</v>
      </c>
      <c r="M116">
        <v>1</v>
      </c>
    </row>
    <row r="117" spans="1:13" x14ac:dyDescent="0.15">
      <c r="A117">
        <v>116</v>
      </c>
      <c r="B117" t="s">
        <v>324</v>
      </c>
      <c r="C117" t="s">
        <v>325</v>
      </c>
      <c r="D117" t="s">
        <v>46</v>
      </c>
      <c r="E117" t="s">
        <v>16</v>
      </c>
      <c r="F117" t="s">
        <v>326</v>
      </c>
      <c r="G117">
        <v>2</v>
      </c>
      <c r="H117">
        <v>2500</v>
      </c>
      <c r="I117">
        <v>5500</v>
      </c>
      <c r="J117">
        <v>4500</v>
      </c>
      <c r="K117">
        <v>4</v>
      </c>
      <c r="L117">
        <v>4</v>
      </c>
      <c r="M117">
        <v>2</v>
      </c>
    </row>
    <row r="118" spans="1:13" x14ac:dyDescent="0.15">
      <c r="A118">
        <v>117</v>
      </c>
      <c r="B118" t="s">
        <v>327</v>
      </c>
      <c r="C118" t="s">
        <v>328</v>
      </c>
      <c r="D118" t="s">
        <v>15</v>
      </c>
      <c r="E118" t="s">
        <v>16</v>
      </c>
      <c r="F118" t="s">
        <v>329</v>
      </c>
      <c r="G118">
        <v>2</v>
      </c>
      <c r="H118">
        <v>2500</v>
      </c>
      <c r="I118">
        <v>9299</v>
      </c>
      <c r="J118">
        <v>6255</v>
      </c>
      <c r="K118">
        <v>12</v>
      </c>
      <c r="L118">
        <v>4</v>
      </c>
      <c r="M118">
        <v>2</v>
      </c>
    </row>
    <row r="119" spans="1:13" x14ac:dyDescent="0.15">
      <c r="A119">
        <v>118</v>
      </c>
      <c r="B119" t="s">
        <v>330</v>
      </c>
      <c r="C119" t="s">
        <v>212</v>
      </c>
      <c r="D119" t="s">
        <v>15</v>
      </c>
      <c r="E119" t="s">
        <v>16</v>
      </c>
      <c r="F119" t="s">
        <v>298</v>
      </c>
      <c r="G119">
        <v>2</v>
      </c>
      <c r="H119">
        <v>2500</v>
      </c>
      <c r="I119">
        <v>7600</v>
      </c>
      <c r="J119">
        <v>8500</v>
      </c>
      <c r="K119">
        <v>6</v>
      </c>
      <c r="L119">
        <v>2</v>
      </c>
      <c r="M119">
        <v>1</v>
      </c>
    </row>
    <row r="120" spans="1:13" x14ac:dyDescent="0.15">
      <c r="A120">
        <v>119</v>
      </c>
      <c r="B120" t="s">
        <v>331</v>
      </c>
      <c r="C120" t="s">
        <v>332</v>
      </c>
      <c r="D120" t="s">
        <v>15</v>
      </c>
      <c r="E120" t="s">
        <v>16</v>
      </c>
      <c r="F120" t="s">
        <v>333</v>
      </c>
      <c r="G120">
        <v>2</v>
      </c>
      <c r="H120">
        <v>5500</v>
      </c>
      <c r="I120">
        <v>13999</v>
      </c>
      <c r="J120">
        <v>10000</v>
      </c>
      <c r="K120">
        <v>6</v>
      </c>
      <c r="L120">
        <v>4</v>
      </c>
      <c r="M120">
        <v>1</v>
      </c>
    </row>
    <row r="121" spans="1:13" x14ac:dyDescent="0.15">
      <c r="A121">
        <v>120</v>
      </c>
      <c r="B121" t="s">
        <v>334</v>
      </c>
      <c r="C121" t="s">
        <v>335</v>
      </c>
      <c r="D121" t="s">
        <v>15</v>
      </c>
      <c r="E121" t="s">
        <v>16</v>
      </c>
      <c r="F121" t="s">
        <v>336</v>
      </c>
      <c r="G121">
        <v>2</v>
      </c>
      <c r="H121">
        <v>3500</v>
      </c>
      <c r="I121">
        <v>8000</v>
      </c>
      <c r="J121">
        <v>6000</v>
      </c>
      <c r="K121">
        <v>9</v>
      </c>
      <c r="L121">
        <v>4</v>
      </c>
      <c r="M121">
        <v>1</v>
      </c>
    </row>
    <row r="122" spans="1:13" x14ac:dyDescent="0.15">
      <c r="A122">
        <v>121</v>
      </c>
      <c r="B122" t="s">
        <v>337</v>
      </c>
      <c r="C122" t="s">
        <v>338</v>
      </c>
      <c r="D122" t="s">
        <v>15</v>
      </c>
      <c r="E122" t="s">
        <v>16</v>
      </c>
      <c r="F122" t="s">
        <v>339</v>
      </c>
      <c r="G122">
        <v>1</v>
      </c>
      <c r="H122">
        <v>3000</v>
      </c>
      <c r="I122">
        <v>8999</v>
      </c>
      <c r="J122">
        <v>9599</v>
      </c>
      <c r="K122">
        <v>8</v>
      </c>
      <c r="L122">
        <v>1</v>
      </c>
      <c r="M122">
        <v>2</v>
      </c>
    </row>
    <row r="123" spans="1:13" x14ac:dyDescent="0.15">
      <c r="A123">
        <v>122</v>
      </c>
      <c r="B123" t="s">
        <v>340</v>
      </c>
      <c r="C123" t="s">
        <v>341</v>
      </c>
      <c r="D123" t="s">
        <v>46</v>
      </c>
      <c r="E123" t="s">
        <v>16</v>
      </c>
      <c r="F123" t="s">
        <v>342</v>
      </c>
      <c r="G123">
        <v>2</v>
      </c>
      <c r="H123">
        <v>3000</v>
      </c>
      <c r="I123">
        <v>12000</v>
      </c>
      <c r="J123">
        <v>6399</v>
      </c>
      <c r="K123">
        <v>8</v>
      </c>
      <c r="L123">
        <v>4</v>
      </c>
      <c r="M123">
        <v>2</v>
      </c>
    </row>
    <row r="124" spans="1:13" x14ac:dyDescent="0.15">
      <c r="A124">
        <v>123</v>
      </c>
      <c r="B124" t="s">
        <v>343</v>
      </c>
      <c r="C124" t="s">
        <v>344</v>
      </c>
      <c r="D124" t="s">
        <v>15</v>
      </c>
      <c r="E124" t="s">
        <v>16</v>
      </c>
      <c r="F124" t="s">
        <v>345</v>
      </c>
      <c r="G124">
        <v>2</v>
      </c>
      <c r="H124">
        <v>2500</v>
      </c>
      <c r="I124">
        <v>1500</v>
      </c>
      <c r="J124">
        <v>7699</v>
      </c>
      <c r="K124">
        <v>6</v>
      </c>
      <c r="L124">
        <v>4</v>
      </c>
      <c r="M124">
        <v>2</v>
      </c>
    </row>
    <row r="125" spans="1:13" x14ac:dyDescent="0.15">
      <c r="A125">
        <v>124</v>
      </c>
      <c r="B125" t="s">
        <v>346</v>
      </c>
      <c r="C125" t="s">
        <v>347</v>
      </c>
      <c r="D125" t="s">
        <v>15</v>
      </c>
      <c r="E125" t="s">
        <v>16</v>
      </c>
      <c r="F125" t="s">
        <v>348</v>
      </c>
      <c r="G125">
        <v>1</v>
      </c>
      <c r="H125">
        <v>3000</v>
      </c>
      <c r="I125">
        <v>4000</v>
      </c>
      <c r="J125">
        <v>9000</v>
      </c>
      <c r="K125">
        <v>6</v>
      </c>
      <c r="L125">
        <v>1</v>
      </c>
      <c r="M125">
        <v>3</v>
      </c>
    </row>
    <row r="126" spans="1:13" x14ac:dyDescent="0.15">
      <c r="A126">
        <v>125</v>
      </c>
      <c r="B126" t="s">
        <v>349</v>
      </c>
      <c r="C126" t="s">
        <v>350</v>
      </c>
      <c r="D126" t="s">
        <v>15</v>
      </c>
      <c r="E126" t="s">
        <v>16</v>
      </c>
      <c r="F126" t="s">
        <v>351</v>
      </c>
      <c r="G126">
        <v>2</v>
      </c>
      <c r="H126">
        <v>15000</v>
      </c>
      <c r="I126">
        <v>5100</v>
      </c>
      <c r="J126">
        <v>5300</v>
      </c>
      <c r="K126">
        <v>8</v>
      </c>
      <c r="L126">
        <v>4</v>
      </c>
      <c r="M126">
        <v>1</v>
      </c>
    </row>
    <row r="127" spans="1:13" x14ac:dyDescent="0.15">
      <c r="A127">
        <v>126</v>
      </c>
      <c r="B127" t="s">
        <v>352</v>
      </c>
      <c r="C127" t="s">
        <v>353</v>
      </c>
      <c r="D127" t="s">
        <v>15</v>
      </c>
      <c r="E127" t="s">
        <v>16</v>
      </c>
      <c r="F127" t="s">
        <v>354</v>
      </c>
      <c r="G127">
        <v>2</v>
      </c>
      <c r="H127">
        <v>3000</v>
      </c>
      <c r="I127">
        <v>6900</v>
      </c>
      <c r="J127">
        <v>5600</v>
      </c>
      <c r="K127">
        <v>18</v>
      </c>
      <c r="L127">
        <v>4</v>
      </c>
      <c r="M127">
        <v>2</v>
      </c>
    </row>
    <row r="128" spans="1:13" x14ac:dyDescent="0.15">
      <c r="A128">
        <v>127</v>
      </c>
      <c r="B128" t="s">
        <v>355</v>
      </c>
      <c r="C128" t="s">
        <v>14</v>
      </c>
      <c r="D128" t="s">
        <v>15</v>
      </c>
      <c r="E128" t="s">
        <v>16</v>
      </c>
      <c r="F128" t="s">
        <v>356</v>
      </c>
      <c r="G128">
        <v>1</v>
      </c>
      <c r="H128">
        <v>1500</v>
      </c>
      <c r="I128">
        <v>1208</v>
      </c>
      <c r="J128">
        <v>9900</v>
      </c>
      <c r="K128">
        <v>19</v>
      </c>
      <c r="L128">
        <v>4</v>
      </c>
      <c r="M128">
        <v>2</v>
      </c>
    </row>
    <row r="129" spans="1:13" x14ac:dyDescent="0.15">
      <c r="A129">
        <v>128</v>
      </c>
      <c r="B129" t="s">
        <v>357</v>
      </c>
      <c r="C129" t="s">
        <v>180</v>
      </c>
      <c r="D129" t="s">
        <v>15</v>
      </c>
      <c r="E129" t="s">
        <v>16</v>
      </c>
      <c r="F129" t="s">
        <v>358</v>
      </c>
      <c r="G129">
        <v>2</v>
      </c>
      <c r="H129">
        <v>2500</v>
      </c>
      <c r="I129">
        <v>2999</v>
      </c>
      <c r="J129">
        <v>6600</v>
      </c>
      <c r="K129">
        <v>7</v>
      </c>
      <c r="L129">
        <v>1</v>
      </c>
      <c r="M129">
        <v>3</v>
      </c>
    </row>
    <row r="130" spans="1:13" x14ac:dyDescent="0.15">
      <c r="A130">
        <v>129</v>
      </c>
      <c r="B130" t="s">
        <v>359</v>
      </c>
      <c r="C130" t="s">
        <v>180</v>
      </c>
      <c r="D130" t="s">
        <v>15</v>
      </c>
      <c r="E130" t="s">
        <v>16</v>
      </c>
      <c r="F130" t="s">
        <v>360</v>
      </c>
      <c r="G130">
        <v>1</v>
      </c>
      <c r="H130">
        <v>1500</v>
      </c>
      <c r="I130">
        <v>7999</v>
      </c>
      <c r="J130">
        <v>5600</v>
      </c>
      <c r="K130">
        <v>6</v>
      </c>
      <c r="L130">
        <v>1</v>
      </c>
      <c r="M130">
        <v>2</v>
      </c>
    </row>
    <row r="131" spans="1:13" x14ac:dyDescent="0.15">
      <c r="A131">
        <v>130</v>
      </c>
      <c r="B131" t="s">
        <v>359</v>
      </c>
      <c r="C131" t="s">
        <v>175</v>
      </c>
      <c r="D131" t="s">
        <v>15</v>
      </c>
      <c r="E131" t="s">
        <v>16</v>
      </c>
      <c r="F131" t="s">
        <v>361</v>
      </c>
      <c r="G131">
        <v>2</v>
      </c>
      <c r="H131">
        <v>2000</v>
      </c>
      <c r="I131">
        <v>3200</v>
      </c>
      <c r="J131">
        <v>5500</v>
      </c>
      <c r="K131">
        <v>6</v>
      </c>
      <c r="L131">
        <v>4</v>
      </c>
      <c r="M131">
        <v>2</v>
      </c>
    </row>
    <row r="132" spans="1:13" x14ac:dyDescent="0.15">
      <c r="A132">
        <v>131</v>
      </c>
      <c r="B132" t="s">
        <v>362</v>
      </c>
      <c r="C132" t="s">
        <v>204</v>
      </c>
      <c r="D132" t="s">
        <v>15</v>
      </c>
      <c r="E132" t="s">
        <v>16</v>
      </c>
      <c r="F132" t="s">
        <v>363</v>
      </c>
      <c r="G132">
        <v>2</v>
      </c>
      <c r="H132">
        <v>1500</v>
      </c>
      <c r="I132">
        <v>6000</v>
      </c>
      <c r="J132">
        <v>7500</v>
      </c>
      <c r="K132">
        <v>2</v>
      </c>
      <c r="L132">
        <v>3</v>
      </c>
      <c r="M132">
        <v>3</v>
      </c>
    </row>
    <row r="133" spans="1:13" x14ac:dyDescent="0.15">
      <c r="A133">
        <v>132</v>
      </c>
      <c r="B133" t="s">
        <v>364</v>
      </c>
      <c r="C133" t="s">
        <v>55</v>
      </c>
      <c r="D133" t="s">
        <v>15</v>
      </c>
      <c r="E133" t="s">
        <v>16</v>
      </c>
      <c r="F133" t="s">
        <v>365</v>
      </c>
      <c r="G133">
        <v>2</v>
      </c>
      <c r="H133">
        <v>2500</v>
      </c>
      <c r="I133">
        <v>5999</v>
      </c>
      <c r="J133">
        <v>3599</v>
      </c>
      <c r="K133">
        <v>4</v>
      </c>
      <c r="L133">
        <v>4</v>
      </c>
      <c r="M133">
        <v>1</v>
      </c>
    </row>
    <row r="134" spans="1:13" x14ac:dyDescent="0.15">
      <c r="A134">
        <v>133</v>
      </c>
      <c r="B134" t="s">
        <v>366</v>
      </c>
      <c r="C134" t="s">
        <v>73</v>
      </c>
      <c r="D134" t="s">
        <v>15</v>
      </c>
      <c r="E134" t="s">
        <v>16</v>
      </c>
      <c r="F134" t="s">
        <v>367</v>
      </c>
      <c r="G134">
        <v>1</v>
      </c>
      <c r="H134">
        <v>2400</v>
      </c>
      <c r="I134">
        <v>10000</v>
      </c>
      <c r="J134">
        <v>10000</v>
      </c>
      <c r="K134">
        <v>16</v>
      </c>
      <c r="L134">
        <v>1</v>
      </c>
      <c r="M134">
        <v>3</v>
      </c>
    </row>
    <row r="135" spans="1:13" x14ac:dyDescent="0.15">
      <c r="A135">
        <v>134</v>
      </c>
      <c r="B135" t="s">
        <v>368</v>
      </c>
      <c r="C135" t="s">
        <v>163</v>
      </c>
      <c r="D135" t="s">
        <v>15</v>
      </c>
      <c r="E135" t="s">
        <v>16</v>
      </c>
      <c r="F135" t="s">
        <v>369</v>
      </c>
      <c r="G135">
        <v>1</v>
      </c>
      <c r="H135">
        <v>2200</v>
      </c>
      <c r="I135">
        <v>2600</v>
      </c>
      <c r="J135">
        <v>10000</v>
      </c>
      <c r="K135">
        <v>6</v>
      </c>
      <c r="L135">
        <v>1</v>
      </c>
      <c r="M135">
        <v>4</v>
      </c>
    </row>
    <row r="136" spans="1:13" x14ac:dyDescent="0.15">
      <c r="A136">
        <v>135</v>
      </c>
      <c r="B136" t="s">
        <v>368</v>
      </c>
      <c r="C136" t="s">
        <v>370</v>
      </c>
      <c r="D136" t="s">
        <v>15</v>
      </c>
      <c r="E136" t="s">
        <v>16</v>
      </c>
      <c r="F136" t="s">
        <v>371</v>
      </c>
      <c r="G136">
        <v>2</v>
      </c>
      <c r="H136">
        <v>5500</v>
      </c>
      <c r="I136">
        <v>12500</v>
      </c>
      <c r="J136">
        <v>7500</v>
      </c>
      <c r="K136">
        <v>6</v>
      </c>
      <c r="L136">
        <v>4</v>
      </c>
      <c r="M136">
        <v>2</v>
      </c>
    </row>
    <row r="137" spans="1:13" x14ac:dyDescent="0.15">
      <c r="A137">
        <v>136</v>
      </c>
      <c r="B137" t="s">
        <v>372</v>
      </c>
      <c r="C137" t="s">
        <v>373</v>
      </c>
      <c r="D137" t="s">
        <v>15</v>
      </c>
      <c r="E137" t="s">
        <v>16</v>
      </c>
      <c r="F137" t="s">
        <v>374</v>
      </c>
      <c r="G137">
        <v>1</v>
      </c>
      <c r="H137">
        <v>2500</v>
      </c>
      <c r="I137">
        <v>6099</v>
      </c>
      <c r="J137">
        <v>8999</v>
      </c>
      <c r="K137">
        <v>6</v>
      </c>
      <c r="L137">
        <v>1</v>
      </c>
      <c r="M137">
        <v>2</v>
      </c>
    </row>
    <row r="138" spans="1:13" x14ac:dyDescent="0.15">
      <c r="A138">
        <v>137</v>
      </c>
      <c r="B138" t="s">
        <v>375</v>
      </c>
      <c r="C138" t="s">
        <v>39</v>
      </c>
      <c r="D138" t="s">
        <v>15</v>
      </c>
      <c r="E138" t="s">
        <v>16</v>
      </c>
      <c r="F138" t="s">
        <v>376</v>
      </c>
      <c r="G138">
        <v>1</v>
      </c>
      <c r="H138">
        <v>2000</v>
      </c>
      <c r="I138">
        <v>9900</v>
      </c>
      <c r="J138">
        <v>16900</v>
      </c>
      <c r="K138">
        <v>6</v>
      </c>
      <c r="L138">
        <v>1</v>
      </c>
      <c r="M138">
        <v>3</v>
      </c>
    </row>
    <row r="139" spans="1:13" x14ac:dyDescent="0.15">
      <c r="A139">
        <v>138</v>
      </c>
      <c r="B139" t="s">
        <v>377</v>
      </c>
      <c r="C139" t="s">
        <v>378</v>
      </c>
      <c r="D139" t="s">
        <v>15</v>
      </c>
      <c r="E139" t="s">
        <v>16</v>
      </c>
      <c r="F139" t="s">
        <v>379</v>
      </c>
      <c r="G139">
        <v>2</v>
      </c>
      <c r="H139">
        <v>2200</v>
      </c>
      <c r="I139">
        <v>5999</v>
      </c>
      <c r="J139">
        <v>5200</v>
      </c>
      <c r="K139">
        <v>6</v>
      </c>
      <c r="L139">
        <v>4</v>
      </c>
      <c r="M139">
        <v>2</v>
      </c>
    </row>
    <row r="140" spans="1:13" x14ac:dyDescent="0.15">
      <c r="A140">
        <v>139</v>
      </c>
      <c r="B140" t="s">
        <v>380</v>
      </c>
      <c r="C140" t="s">
        <v>381</v>
      </c>
      <c r="D140" t="s">
        <v>15</v>
      </c>
      <c r="E140" t="s">
        <v>16</v>
      </c>
      <c r="F140" t="s">
        <v>382</v>
      </c>
      <c r="G140">
        <v>2</v>
      </c>
      <c r="H140">
        <v>3000</v>
      </c>
      <c r="I140">
        <v>12800</v>
      </c>
      <c r="J140">
        <v>10800</v>
      </c>
      <c r="K140">
        <v>6</v>
      </c>
      <c r="L140">
        <v>4</v>
      </c>
      <c r="M140">
        <v>1</v>
      </c>
    </row>
    <row r="141" spans="1:13" x14ac:dyDescent="0.15">
      <c r="A141">
        <v>140</v>
      </c>
      <c r="B141" t="s">
        <v>383</v>
      </c>
      <c r="C141" t="s">
        <v>99</v>
      </c>
      <c r="D141" t="s">
        <v>15</v>
      </c>
      <c r="E141" t="s">
        <v>16</v>
      </c>
      <c r="F141" t="s">
        <v>384</v>
      </c>
      <c r="G141">
        <v>2</v>
      </c>
      <c r="H141">
        <v>2500</v>
      </c>
      <c r="I141">
        <v>9799</v>
      </c>
      <c r="J141">
        <v>10500</v>
      </c>
      <c r="K141">
        <v>6</v>
      </c>
      <c r="L141">
        <v>4</v>
      </c>
      <c r="M141">
        <v>1</v>
      </c>
    </row>
    <row r="142" spans="1:13" x14ac:dyDescent="0.15">
      <c r="A142">
        <v>141</v>
      </c>
      <c r="B142" t="s">
        <v>385</v>
      </c>
      <c r="C142" t="s">
        <v>386</v>
      </c>
      <c r="D142" t="s">
        <v>15</v>
      </c>
      <c r="E142" t="s">
        <v>16</v>
      </c>
      <c r="F142" t="s">
        <v>387</v>
      </c>
      <c r="G142">
        <v>2</v>
      </c>
      <c r="H142">
        <v>3500</v>
      </c>
      <c r="I142">
        <v>9999</v>
      </c>
      <c r="J142">
        <v>13000</v>
      </c>
      <c r="K142">
        <v>6</v>
      </c>
      <c r="L142">
        <v>1</v>
      </c>
      <c r="M142">
        <v>3</v>
      </c>
    </row>
    <row r="143" spans="1:13" x14ac:dyDescent="0.15">
      <c r="A143">
        <v>142</v>
      </c>
      <c r="B143" t="s">
        <v>388</v>
      </c>
      <c r="C143" t="s">
        <v>389</v>
      </c>
      <c r="D143" t="s">
        <v>15</v>
      </c>
      <c r="E143" t="s">
        <v>16</v>
      </c>
      <c r="F143" t="s">
        <v>143</v>
      </c>
      <c r="G143">
        <v>2</v>
      </c>
      <c r="H143">
        <v>8000</v>
      </c>
      <c r="I143">
        <v>9000</v>
      </c>
      <c r="J143">
        <v>10000</v>
      </c>
      <c r="K143">
        <v>7</v>
      </c>
      <c r="L143">
        <v>4</v>
      </c>
      <c r="M143">
        <v>1</v>
      </c>
    </row>
    <row r="144" spans="1:13" x14ac:dyDescent="0.15">
      <c r="A144">
        <v>143</v>
      </c>
      <c r="B144" t="s">
        <v>390</v>
      </c>
      <c r="C144" t="s">
        <v>386</v>
      </c>
      <c r="D144" t="s">
        <v>15</v>
      </c>
      <c r="E144" t="s">
        <v>16</v>
      </c>
      <c r="F144" t="s">
        <v>391</v>
      </c>
      <c r="G144">
        <v>2</v>
      </c>
      <c r="H144">
        <v>4200</v>
      </c>
      <c r="I144">
        <v>3500</v>
      </c>
      <c r="J144">
        <v>7500</v>
      </c>
      <c r="K144">
        <v>4</v>
      </c>
      <c r="L144">
        <v>2</v>
      </c>
      <c r="M144">
        <v>3</v>
      </c>
    </row>
    <row r="145" spans="1:13" x14ac:dyDescent="0.15">
      <c r="A145">
        <v>144</v>
      </c>
      <c r="B145" t="s">
        <v>390</v>
      </c>
      <c r="C145" t="s">
        <v>392</v>
      </c>
      <c r="D145" t="s">
        <v>15</v>
      </c>
      <c r="E145" t="s">
        <v>16</v>
      </c>
      <c r="F145" t="s">
        <v>393</v>
      </c>
      <c r="G145">
        <v>2</v>
      </c>
      <c r="H145">
        <v>2000</v>
      </c>
      <c r="I145">
        <v>2900</v>
      </c>
      <c r="J145">
        <v>4800</v>
      </c>
      <c r="K145">
        <v>1</v>
      </c>
      <c r="L145">
        <v>4</v>
      </c>
      <c r="M145">
        <v>2</v>
      </c>
    </row>
    <row r="146" spans="1:13" x14ac:dyDescent="0.15">
      <c r="A146">
        <v>145</v>
      </c>
      <c r="B146" t="s">
        <v>394</v>
      </c>
      <c r="C146" t="s">
        <v>378</v>
      </c>
      <c r="D146" t="s">
        <v>15</v>
      </c>
      <c r="E146" t="s">
        <v>16</v>
      </c>
      <c r="F146" t="s">
        <v>395</v>
      </c>
      <c r="G146">
        <v>1</v>
      </c>
      <c r="H146">
        <v>2000</v>
      </c>
      <c r="I146">
        <v>5000</v>
      </c>
      <c r="J146">
        <v>12000</v>
      </c>
      <c r="K146">
        <v>4</v>
      </c>
      <c r="L146">
        <v>1</v>
      </c>
      <c r="M146">
        <v>3</v>
      </c>
    </row>
    <row r="147" spans="1:13" x14ac:dyDescent="0.15">
      <c r="A147">
        <v>146</v>
      </c>
      <c r="B147" t="s">
        <v>396</v>
      </c>
      <c r="C147" t="s">
        <v>397</v>
      </c>
      <c r="D147" t="s">
        <v>15</v>
      </c>
      <c r="E147" t="s">
        <v>16</v>
      </c>
      <c r="F147" t="s">
        <v>398</v>
      </c>
      <c r="G147">
        <v>1</v>
      </c>
      <c r="H147">
        <v>2200</v>
      </c>
      <c r="I147">
        <v>3400</v>
      </c>
      <c r="J147">
        <v>5500</v>
      </c>
      <c r="K147">
        <v>15</v>
      </c>
      <c r="L147">
        <v>4</v>
      </c>
      <c r="M147">
        <v>2</v>
      </c>
    </row>
    <row r="148" spans="1:13" x14ac:dyDescent="0.15">
      <c r="A148">
        <v>147</v>
      </c>
      <c r="B148" t="s">
        <v>399</v>
      </c>
      <c r="C148" t="s">
        <v>338</v>
      </c>
      <c r="D148" t="s">
        <v>46</v>
      </c>
      <c r="E148" t="s">
        <v>16</v>
      </c>
      <c r="F148" t="s">
        <v>400</v>
      </c>
      <c r="G148">
        <v>2</v>
      </c>
      <c r="H148">
        <v>2000</v>
      </c>
      <c r="I148">
        <v>2200</v>
      </c>
      <c r="J148">
        <v>2300</v>
      </c>
      <c r="K148">
        <v>6</v>
      </c>
      <c r="L148">
        <v>2</v>
      </c>
      <c r="M148">
        <v>4</v>
      </c>
    </row>
    <row r="149" spans="1:13" x14ac:dyDescent="0.15">
      <c r="A149">
        <v>148</v>
      </c>
      <c r="B149" t="s">
        <v>401</v>
      </c>
      <c r="C149" t="s">
        <v>259</v>
      </c>
      <c r="D149" t="s">
        <v>15</v>
      </c>
      <c r="E149" t="s">
        <v>16</v>
      </c>
      <c r="F149" t="s">
        <v>402</v>
      </c>
      <c r="G149">
        <v>2</v>
      </c>
      <c r="H149">
        <v>2500</v>
      </c>
      <c r="I149">
        <v>6000</v>
      </c>
      <c r="J149">
        <v>5679</v>
      </c>
      <c r="K149">
        <v>6</v>
      </c>
      <c r="L149">
        <v>4</v>
      </c>
      <c r="M149">
        <v>2</v>
      </c>
    </row>
    <row r="150" spans="1:13" x14ac:dyDescent="0.15">
      <c r="A150">
        <v>149</v>
      </c>
      <c r="B150" t="s">
        <v>403</v>
      </c>
      <c r="C150" t="s">
        <v>404</v>
      </c>
      <c r="D150" t="s">
        <v>15</v>
      </c>
      <c r="E150" t="s">
        <v>16</v>
      </c>
      <c r="F150" t="s">
        <v>405</v>
      </c>
      <c r="G150">
        <v>2</v>
      </c>
      <c r="H150">
        <v>3000</v>
      </c>
      <c r="I150">
        <v>9000</v>
      </c>
      <c r="J150">
        <v>7400</v>
      </c>
      <c r="K150">
        <v>8</v>
      </c>
      <c r="L150">
        <v>4</v>
      </c>
      <c r="M150">
        <v>2</v>
      </c>
    </row>
    <row r="151" spans="1:13" x14ac:dyDescent="0.15">
      <c r="A151">
        <v>150</v>
      </c>
      <c r="B151" t="s">
        <v>406</v>
      </c>
      <c r="C151" t="s">
        <v>160</v>
      </c>
      <c r="D151" t="s">
        <v>46</v>
      </c>
      <c r="E151" t="s">
        <v>16</v>
      </c>
      <c r="F151" t="s">
        <v>407</v>
      </c>
      <c r="G151">
        <v>1</v>
      </c>
      <c r="H151">
        <v>2000</v>
      </c>
      <c r="I151">
        <v>6800</v>
      </c>
      <c r="J151">
        <v>4800</v>
      </c>
      <c r="K151">
        <v>42</v>
      </c>
      <c r="L151">
        <v>4</v>
      </c>
      <c r="M151">
        <v>1</v>
      </c>
    </row>
    <row r="152" spans="1:13" x14ac:dyDescent="0.15">
      <c r="A152">
        <v>151</v>
      </c>
      <c r="B152" t="s">
        <v>408</v>
      </c>
      <c r="C152" t="s">
        <v>409</v>
      </c>
      <c r="D152" t="s">
        <v>46</v>
      </c>
      <c r="E152" t="s">
        <v>16</v>
      </c>
      <c r="F152" t="s">
        <v>121</v>
      </c>
      <c r="G152">
        <v>2</v>
      </c>
      <c r="H152">
        <v>73600</v>
      </c>
      <c r="I152">
        <v>5000</v>
      </c>
      <c r="J152">
        <v>7600</v>
      </c>
      <c r="K152">
        <v>6</v>
      </c>
      <c r="L152">
        <v>4</v>
      </c>
      <c r="M152">
        <v>1</v>
      </c>
    </row>
    <row r="153" spans="1:13" x14ac:dyDescent="0.15">
      <c r="A153">
        <v>152</v>
      </c>
      <c r="B153" t="s">
        <v>410</v>
      </c>
      <c r="C153" t="s">
        <v>411</v>
      </c>
      <c r="D153" t="s">
        <v>46</v>
      </c>
      <c r="E153" t="s">
        <v>16</v>
      </c>
      <c r="F153" t="s">
        <v>412</v>
      </c>
      <c r="G153">
        <v>2</v>
      </c>
      <c r="H153">
        <v>2500</v>
      </c>
      <c r="I153">
        <v>8999</v>
      </c>
      <c r="J153">
        <v>5899</v>
      </c>
      <c r="K153">
        <v>9</v>
      </c>
      <c r="L153">
        <v>4</v>
      </c>
      <c r="M153">
        <v>1</v>
      </c>
    </row>
    <row r="154" spans="1:13" x14ac:dyDescent="0.15">
      <c r="A154">
        <v>153</v>
      </c>
      <c r="B154" t="s">
        <v>413</v>
      </c>
      <c r="C154" t="s">
        <v>414</v>
      </c>
      <c r="D154" t="s">
        <v>15</v>
      </c>
      <c r="E154" t="s">
        <v>16</v>
      </c>
      <c r="F154" t="s">
        <v>415</v>
      </c>
      <c r="G154">
        <v>2</v>
      </c>
      <c r="H154">
        <v>3000</v>
      </c>
      <c r="I154">
        <v>13999</v>
      </c>
      <c r="J154">
        <v>12499</v>
      </c>
      <c r="K154">
        <v>6</v>
      </c>
      <c r="L154">
        <v>4</v>
      </c>
      <c r="M154">
        <v>1</v>
      </c>
    </row>
    <row r="155" spans="1:13" x14ac:dyDescent="0.15">
      <c r="A155">
        <v>154</v>
      </c>
      <c r="B155" t="s">
        <v>416</v>
      </c>
      <c r="C155" t="s">
        <v>417</v>
      </c>
      <c r="D155" t="s">
        <v>15</v>
      </c>
      <c r="E155" t="s">
        <v>16</v>
      </c>
      <c r="F155" t="s">
        <v>418</v>
      </c>
      <c r="G155">
        <v>2</v>
      </c>
      <c r="H155">
        <v>3500</v>
      </c>
      <c r="I155">
        <v>2500</v>
      </c>
      <c r="J155">
        <v>5500</v>
      </c>
      <c r="K155">
        <v>8</v>
      </c>
      <c r="L155">
        <v>4</v>
      </c>
      <c r="M155">
        <v>1</v>
      </c>
    </row>
    <row r="156" spans="1:13" x14ac:dyDescent="0.15">
      <c r="A156">
        <v>155</v>
      </c>
      <c r="B156" t="s">
        <v>419</v>
      </c>
      <c r="C156" t="s">
        <v>307</v>
      </c>
      <c r="D156" t="s">
        <v>15</v>
      </c>
      <c r="E156" t="s">
        <v>16</v>
      </c>
      <c r="F156" t="s">
        <v>420</v>
      </c>
      <c r="G156">
        <v>2</v>
      </c>
      <c r="H156">
        <v>1000</v>
      </c>
      <c r="I156">
        <v>5900</v>
      </c>
      <c r="J156">
        <v>10000</v>
      </c>
      <c r="K156">
        <v>6</v>
      </c>
      <c r="L156">
        <v>1</v>
      </c>
      <c r="M156">
        <v>3</v>
      </c>
    </row>
    <row r="157" spans="1:13" x14ac:dyDescent="0.15">
      <c r="A157">
        <v>156</v>
      </c>
      <c r="B157" t="s">
        <v>421</v>
      </c>
      <c r="C157" t="s">
        <v>422</v>
      </c>
      <c r="D157" t="s">
        <v>15</v>
      </c>
      <c r="E157" t="s">
        <v>16</v>
      </c>
      <c r="F157" t="s">
        <v>423</v>
      </c>
      <c r="G157">
        <v>1</v>
      </c>
      <c r="H157">
        <v>3000</v>
      </c>
      <c r="I157">
        <v>10499</v>
      </c>
      <c r="J157">
        <v>12999</v>
      </c>
      <c r="K157">
        <v>15</v>
      </c>
      <c r="L157">
        <v>1</v>
      </c>
      <c r="M157">
        <v>2</v>
      </c>
    </row>
    <row r="158" spans="1:13" x14ac:dyDescent="0.15">
      <c r="A158">
        <v>157</v>
      </c>
      <c r="B158" t="s">
        <v>424</v>
      </c>
      <c r="C158" t="s">
        <v>425</v>
      </c>
      <c r="D158" t="s">
        <v>15</v>
      </c>
      <c r="E158" t="s">
        <v>16</v>
      </c>
      <c r="F158" t="s">
        <v>426</v>
      </c>
      <c r="G158">
        <v>2</v>
      </c>
      <c r="H158">
        <v>6000</v>
      </c>
      <c r="I158">
        <v>3000</v>
      </c>
      <c r="J158">
        <v>4705</v>
      </c>
      <c r="K158">
        <v>8</v>
      </c>
      <c r="L158">
        <v>4</v>
      </c>
      <c r="M158">
        <v>2</v>
      </c>
    </row>
  </sheetData>
  <phoneticPr fontId="2" type="noConversion"/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C7E4-9D0A-174B-8A0A-081BDF936C57}">
  <dimension ref="A1:X143"/>
  <sheetViews>
    <sheetView topLeftCell="M15" zoomScale="164" workbookViewId="0">
      <selection activeCell="Q37" sqref="Q37"/>
    </sheetView>
  </sheetViews>
  <sheetFormatPr baseColWidth="10" defaultColWidth="14.5" defaultRowHeight="13" x14ac:dyDescent="0.15"/>
  <cols>
    <col min="1" max="5" width="14.5" style="2"/>
    <col min="6" max="6" width="6.1640625" style="2" customWidth="1"/>
    <col min="7" max="11" width="6.5" style="2" customWidth="1"/>
    <col min="12" max="16384" width="14.5" style="2"/>
  </cols>
  <sheetData>
    <row r="1" spans="1:24" x14ac:dyDescent="0.15">
      <c r="A1" s="2" t="s">
        <v>455</v>
      </c>
      <c r="B1" s="2" t="s">
        <v>433</v>
      </c>
      <c r="C1" s="2" t="s">
        <v>429</v>
      </c>
      <c r="D1" s="2" t="s">
        <v>431</v>
      </c>
      <c r="E1" s="2" t="s">
        <v>435</v>
      </c>
      <c r="F1" s="2" t="s">
        <v>428</v>
      </c>
      <c r="G1" s="2" t="s">
        <v>490</v>
      </c>
      <c r="H1" s="2" t="s">
        <v>491</v>
      </c>
      <c r="I1" s="2" t="s">
        <v>492</v>
      </c>
      <c r="J1" s="2" t="s">
        <v>493</v>
      </c>
      <c r="K1" s="2" t="s">
        <v>494</v>
      </c>
      <c r="L1" s="2" t="s">
        <v>456</v>
      </c>
      <c r="M1" s="2" t="s">
        <v>440</v>
      </c>
      <c r="N1" s="2" t="s">
        <v>444</v>
      </c>
      <c r="P1" t="s">
        <v>467</v>
      </c>
      <c r="Q1"/>
      <c r="R1"/>
      <c r="S1"/>
      <c r="T1"/>
      <c r="U1"/>
      <c r="V1"/>
      <c r="W1"/>
      <c r="X1"/>
    </row>
    <row r="2" spans="1:24" ht="14" thickBot="1" x14ac:dyDescent="0.2">
      <c r="A2" s="2">
        <v>1</v>
      </c>
      <c r="B2" s="2">
        <v>6000</v>
      </c>
      <c r="C2" s="2">
        <v>2000</v>
      </c>
      <c r="D2" s="2">
        <v>5000</v>
      </c>
      <c r="E2" s="2">
        <v>20</v>
      </c>
      <c r="F2" s="2">
        <f t="shared" ref="F2:F33" si="0">IF(L2="male",1,0)</f>
        <v>1</v>
      </c>
      <c r="G2" s="2">
        <f t="shared" ref="G2:G33" si="1">IF(M2="lite",1,0)</f>
        <v>0</v>
      </c>
      <c r="H2" s="2">
        <f t="shared" ref="H2:H33" si="2">IF(N2="premium",1,0)</f>
        <v>0</v>
      </c>
      <c r="I2" s="2">
        <f t="shared" ref="I2:I33" si="3">IF(N2="mainstream",1,0)</f>
        <v>0</v>
      </c>
      <c r="J2" s="2">
        <f t="shared" ref="J2:J33" si="4">IF(N2="gaming",1,0)</f>
        <v>0</v>
      </c>
      <c r="K2" s="2">
        <f t="shared" ref="K2:K33" si="5">IF(N2="value",1,0)</f>
        <v>1</v>
      </c>
      <c r="L2" s="2" t="s">
        <v>427</v>
      </c>
      <c r="M2" s="2" t="s">
        <v>448</v>
      </c>
      <c r="N2" s="2" t="s">
        <v>449</v>
      </c>
      <c r="P2"/>
      <c r="Q2"/>
      <c r="R2"/>
      <c r="S2"/>
      <c r="T2"/>
      <c r="U2"/>
      <c r="V2"/>
      <c r="W2"/>
      <c r="X2"/>
    </row>
    <row r="3" spans="1:24" x14ac:dyDescent="0.15">
      <c r="A3" s="2">
        <v>2</v>
      </c>
      <c r="B3" s="2">
        <v>5700</v>
      </c>
      <c r="C3" s="2">
        <v>1500</v>
      </c>
      <c r="D3" s="2">
        <v>2400</v>
      </c>
      <c r="E3" s="2">
        <v>1</v>
      </c>
      <c r="F3" s="2">
        <f t="shared" si="0"/>
        <v>1</v>
      </c>
      <c r="G3" s="2">
        <f t="shared" si="1"/>
        <v>0</v>
      </c>
      <c r="H3" s="2">
        <f t="shared" si="2"/>
        <v>0</v>
      </c>
      <c r="I3" s="2">
        <f t="shared" si="3"/>
        <v>1</v>
      </c>
      <c r="J3" s="2">
        <f t="shared" si="4"/>
        <v>0</v>
      </c>
      <c r="K3" s="2">
        <f t="shared" si="5"/>
        <v>0</v>
      </c>
      <c r="L3" s="2" t="s">
        <v>427</v>
      </c>
      <c r="M3" s="2" t="s">
        <v>448</v>
      </c>
      <c r="N3" s="2" t="s">
        <v>450</v>
      </c>
      <c r="P3" s="7" t="s">
        <v>483</v>
      </c>
      <c r="Q3" s="7"/>
      <c r="R3"/>
      <c r="S3"/>
      <c r="T3"/>
      <c r="U3"/>
      <c r="V3"/>
      <c r="W3"/>
      <c r="X3"/>
    </row>
    <row r="4" spans="1:24" x14ac:dyDescent="0.15">
      <c r="A4" s="2">
        <v>3</v>
      </c>
      <c r="B4" s="2">
        <v>8000</v>
      </c>
      <c r="C4" s="2">
        <v>1000</v>
      </c>
      <c r="D4" s="2">
        <v>2500</v>
      </c>
      <c r="E4" s="2">
        <v>18</v>
      </c>
      <c r="F4" s="2">
        <f t="shared" si="0"/>
        <v>1</v>
      </c>
      <c r="G4" s="2">
        <f t="shared" si="1"/>
        <v>0</v>
      </c>
      <c r="H4" s="2">
        <f t="shared" si="2"/>
        <v>0</v>
      </c>
      <c r="I4" s="2">
        <f t="shared" si="3"/>
        <v>0</v>
      </c>
      <c r="J4" s="2">
        <f t="shared" si="4"/>
        <v>1</v>
      </c>
      <c r="K4" s="2">
        <f t="shared" si="5"/>
        <v>0</v>
      </c>
      <c r="L4" s="2" t="s">
        <v>427</v>
      </c>
      <c r="M4" s="2" t="s">
        <v>448</v>
      </c>
      <c r="N4" s="2" t="s">
        <v>451</v>
      </c>
      <c r="P4" t="s">
        <v>468</v>
      </c>
      <c r="Q4">
        <v>0.64192676891408762</v>
      </c>
      <c r="R4"/>
      <c r="S4"/>
      <c r="T4"/>
      <c r="U4"/>
      <c r="V4"/>
      <c r="W4"/>
      <c r="X4"/>
    </row>
    <row r="5" spans="1:24" x14ac:dyDescent="0.15">
      <c r="A5" s="2">
        <v>4</v>
      </c>
      <c r="B5" s="2">
        <v>11999</v>
      </c>
      <c r="C5" s="2">
        <v>2000</v>
      </c>
      <c r="D5" s="2">
        <v>7999</v>
      </c>
      <c r="E5" s="2">
        <v>6</v>
      </c>
      <c r="F5" s="2">
        <f t="shared" si="0"/>
        <v>1</v>
      </c>
      <c r="G5" s="2">
        <f t="shared" si="1"/>
        <v>1</v>
      </c>
      <c r="H5" s="2">
        <f t="shared" si="2"/>
        <v>1</v>
      </c>
      <c r="I5" s="2">
        <f t="shared" si="3"/>
        <v>0</v>
      </c>
      <c r="J5" s="2">
        <f t="shared" si="4"/>
        <v>0</v>
      </c>
      <c r="K5" s="2">
        <f t="shared" si="5"/>
        <v>0</v>
      </c>
      <c r="L5" s="2" t="s">
        <v>427</v>
      </c>
      <c r="M5" s="2" t="s">
        <v>452</v>
      </c>
      <c r="N5" s="2" t="s">
        <v>453</v>
      </c>
      <c r="P5" t="s">
        <v>469</v>
      </c>
      <c r="Q5">
        <v>0.41206997664848044</v>
      </c>
      <c r="R5"/>
      <c r="S5"/>
      <c r="T5"/>
      <c r="U5"/>
      <c r="V5"/>
      <c r="W5"/>
      <c r="X5"/>
    </row>
    <row r="6" spans="1:24" x14ac:dyDescent="0.15">
      <c r="A6" s="2">
        <v>5</v>
      </c>
      <c r="B6" s="2">
        <v>5999</v>
      </c>
      <c r="C6" s="2">
        <v>2000</v>
      </c>
      <c r="D6" s="2">
        <v>3100</v>
      </c>
      <c r="E6" s="2">
        <v>18</v>
      </c>
      <c r="F6" s="2">
        <f t="shared" si="0"/>
        <v>0</v>
      </c>
      <c r="G6" s="2">
        <f t="shared" si="1"/>
        <v>1</v>
      </c>
      <c r="H6" s="2">
        <f t="shared" si="2"/>
        <v>0</v>
      </c>
      <c r="I6" s="2">
        <f t="shared" si="3"/>
        <v>0</v>
      </c>
      <c r="J6" s="2">
        <f t="shared" si="4"/>
        <v>1</v>
      </c>
      <c r="K6" s="2">
        <f t="shared" si="5"/>
        <v>0</v>
      </c>
      <c r="L6" s="2" t="s">
        <v>454</v>
      </c>
      <c r="M6" s="2" t="s">
        <v>452</v>
      </c>
      <c r="N6" s="2" t="s">
        <v>451</v>
      </c>
      <c r="P6" t="s">
        <v>470</v>
      </c>
      <c r="Q6">
        <v>0.37670576471756195</v>
      </c>
      <c r="R6"/>
      <c r="S6"/>
      <c r="T6"/>
      <c r="U6"/>
      <c r="V6"/>
      <c r="W6"/>
      <c r="X6"/>
    </row>
    <row r="7" spans="1:24" x14ac:dyDescent="0.15">
      <c r="A7" s="2">
        <v>6</v>
      </c>
      <c r="B7" s="2">
        <v>7800</v>
      </c>
      <c r="C7" s="2">
        <v>2500</v>
      </c>
      <c r="D7" s="2">
        <v>5988</v>
      </c>
      <c r="E7" s="2">
        <v>2</v>
      </c>
      <c r="F7" s="2">
        <f t="shared" si="0"/>
        <v>1</v>
      </c>
      <c r="G7" s="2">
        <f t="shared" si="1"/>
        <v>0</v>
      </c>
      <c r="H7" s="2">
        <f t="shared" si="2"/>
        <v>0</v>
      </c>
      <c r="I7" s="2">
        <f t="shared" si="3"/>
        <v>1</v>
      </c>
      <c r="J7" s="2">
        <f t="shared" si="4"/>
        <v>0</v>
      </c>
      <c r="K7" s="2">
        <f t="shared" si="5"/>
        <v>0</v>
      </c>
      <c r="L7" s="2" t="s">
        <v>427</v>
      </c>
      <c r="M7" s="2" t="s">
        <v>448</v>
      </c>
      <c r="N7" s="2" t="s">
        <v>450</v>
      </c>
      <c r="P7" t="s">
        <v>457</v>
      </c>
      <c r="Q7">
        <v>1864.9103862901006</v>
      </c>
      <c r="R7"/>
      <c r="S7"/>
      <c r="T7"/>
      <c r="U7"/>
      <c r="V7"/>
      <c r="W7"/>
      <c r="X7"/>
    </row>
    <row r="8" spans="1:24" ht="14" thickBot="1" x14ac:dyDescent="0.2">
      <c r="A8" s="2">
        <v>7</v>
      </c>
      <c r="B8" s="2">
        <v>6400</v>
      </c>
      <c r="C8" s="2">
        <v>800</v>
      </c>
      <c r="D8" s="2">
        <v>2100</v>
      </c>
      <c r="E8" s="2">
        <v>19</v>
      </c>
      <c r="F8" s="2">
        <f t="shared" si="0"/>
        <v>0</v>
      </c>
      <c r="G8" s="2">
        <f t="shared" si="1"/>
        <v>1</v>
      </c>
      <c r="H8" s="2">
        <f t="shared" si="2"/>
        <v>0</v>
      </c>
      <c r="I8" s="2">
        <f t="shared" si="3"/>
        <v>0</v>
      </c>
      <c r="J8" s="2">
        <f t="shared" si="4"/>
        <v>0</v>
      </c>
      <c r="K8" s="2">
        <f t="shared" si="5"/>
        <v>1</v>
      </c>
      <c r="L8" s="2" t="s">
        <v>454</v>
      </c>
      <c r="M8" s="2" t="s">
        <v>452</v>
      </c>
      <c r="N8" s="2" t="s">
        <v>449</v>
      </c>
      <c r="P8" s="5" t="s">
        <v>484</v>
      </c>
      <c r="Q8" s="5">
        <v>142</v>
      </c>
      <c r="R8"/>
      <c r="S8"/>
      <c r="T8"/>
      <c r="U8"/>
      <c r="V8"/>
      <c r="W8"/>
      <c r="X8"/>
    </row>
    <row r="9" spans="1:24" x14ac:dyDescent="0.15">
      <c r="A9" s="2">
        <v>8</v>
      </c>
      <c r="B9" s="2">
        <v>8000</v>
      </c>
      <c r="C9" s="2">
        <v>2500</v>
      </c>
      <c r="D9" s="2">
        <v>3900</v>
      </c>
      <c r="E9" s="2">
        <v>20</v>
      </c>
      <c r="F9" s="2">
        <f t="shared" si="0"/>
        <v>0</v>
      </c>
      <c r="G9" s="2">
        <f t="shared" si="1"/>
        <v>1</v>
      </c>
      <c r="H9" s="2">
        <f t="shared" si="2"/>
        <v>0</v>
      </c>
      <c r="I9" s="2">
        <f t="shared" si="3"/>
        <v>1</v>
      </c>
      <c r="J9" s="2">
        <f t="shared" si="4"/>
        <v>0</v>
      </c>
      <c r="K9" s="2">
        <f t="shared" si="5"/>
        <v>0</v>
      </c>
      <c r="L9" s="2" t="s">
        <v>454</v>
      </c>
      <c r="M9" s="2" t="s">
        <v>452</v>
      </c>
      <c r="N9" s="2" t="s">
        <v>450</v>
      </c>
      <c r="P9"/>
      <c r="Q9"/>
      <c r="R9"/>
      <c r="S9"/>
      <c r="T9"/>
      <c r="U9"/>
      <c r="V9"/>
      <c r="W9"/>
      <c r="X9"/>
    </row>
    <row r="10" spans="1:24" ht="14" thickBot="1" x14ac:dyDescent="0.2">
      <c r="A10" s="2">
        <v>9</v>
      </c>
      <c r="B10" s="2">
        <v>6400</v>
      </c>
      <c r="C10" s="2">
        <v>1500</v>
      </c>
      <c r="D10" s="2">
        <v>2100</v>
      </c>
      <c r="E10" s="2">
        <v>13</v>
      </c>
      <c r="F10" s="2">
        <f t="shared" si="0"/>
        <v>1</v>
      </c>
      <c r="G10" s="2">
        <f t="shared" si="1"/>
        <v>0</v>
      </c>
      <c r="H10" s="2">
        <f t="shared" si="2"/>
        <v>0</v>
      </c>
      <c r="I10" s="2">
        <f t="shared" si="3"/>
        <v>1</v>
      </c>
      <c r="J10" s="2">
        <f t="shared" si="4"/>
        <v>0</v>
      </c>
      <c r="K10" s="2">
        <f t="shared" si="5"/>
        <v>0</v>
      </c>
      <c r="L10" s="2" t="s">
        <v>427</v>
      </c>
      <c r="M10" s="2" t="s">
        <v>448</v>
      </c>
      <c r="N10" s="2" t="s">
        <v>450</v>
      </c>
      <c r="P10" t="s">
        <v>471</v>
      </c>
      <c r="Q10"/>
      <c r="R10"/>
      <c r="S10"/>
      <c r="T10"/>
      <c r="U10"/>
      <c r="V10"/>
      <c r="W10"/>
      <c r="X10"/>
    </row>
    <row r="11" spans="1:24" x14ac:dyDescent="0.15">
      <c r="A11" s="2">
        <v>10</v>
      </c>
      <c r="B11" s="2">
        <v>7800</v>
      </c>
      <c r="C11" s="2">
        <v>2500</v>
      </c>
      <c r="D11" s="2">
        <v>9900</v>
      </c>
      <c r="E11" s="2">
        <v>4</v>
      </c>
      <c r="F11" s="2">
        <f t="shared" si="0"/>
        <v>1</v>
      </c>
      <c r="G11" s="2">
        <f t="shared" si="1"/>
        <v>1</v>
      </c>
      <c r="H11" s="2">
        <f t="shared" si="2"/>
        <v>0</v>
      </c>
      <c r="I11" s="2">
        <f t="shared" si="3"/>
        <v>0</v>
      </c>
      <c r="J11" s="2">
        <f t="shared" si="4"/>
        <v>1</v>
      </c>
      <c r="K11" s="2">
        <f t="shared" si="5"/>
        <v>0</v>
      </c>
      <c r="L11" s="2" t="s">
        <v>427</v>
      </c>
      <c r="M11" s="2" t="s">
        <v>452</v>
      </c>
      <c r="N11" s="2" t="s">
        <v>451</v>
      </c>
      <c r="P11" s="6"/>
      <c r="Q11" s="6" t="s">
        <v>473</v>
      </c>
      <c r="R11" s="6" t="s">
        <v>474</v>
      </c>
      <c r="S11" s="6" t="s">
        <v>475</v>
      </c>
      <c r="T11" s="6" t="s">
        <v>476</v>
      </c>
      <c r="U11" s="6" t="s">
        <v>477</v>
      </c>
      <c r="V11"/>
      <c r="W11"/>
      <c r="X11"/>
    </row>
    <row r="12" spans="1:24" x14ac:dyDescent="0.15">
      <c r="A12" s="2">
        <v>11</v>
      </c>
      <c r="B12" s="2">
        <v>6000</v>
      </c>
      <c r="C12" s="2">
        <v>2000</v>
      </c>
      <c r="D12" s="2">
        <v>5500</v>
      </c>
      <c r="E12" s="2">
        <v>20</v>
      </c>
      <c r="F12" s="2">
        <f t="shared" si="0"/>
        <v>1</v>
      </c>
      <c r="G12" s="2">
        <f t="shared" si="1"/>
        <v>1</v>
      </c>
      <c r="H12" s="2">
        <f t="shared" si="2"/>
        <v>0</v>
      </c>
      <c r="I12" s="2">
        <f t="shared" si="3"/>
        <v>1</v>
      </c>
      <c r="J12" s="2">
        <f t="shared" si="4"/>
        <v>0</v>
      </c>
      <c r="K12" s="2">
        <f t="shared" si="5"/>
        <v>0</v>
      </c>
      <c r="L12" s="2" t="s">
        <v>427</v>
      </c>
      <c r="M12" s="2" t="s">
        <v>452</v>
      </c>
      <c r="N12" s="2" t="s">
        <v>450</v>
      </c>
      <c r="P12" t="s">
        <v>485</v>
      </c>
      <c r="Q12">
        <v>8</v>
      </c>
      <c r="R12">
        <v>324199925.61558133</v>
      </c>
      <c r="S12">
        <v>40524990.701947667</v>
      </c>
      <c r="T12">
        <v>11.652174731149968</v>
      </c>
      <c r="U12">
        <v>1.826825023073673E-12</v>
      </c>
      <c r="V12"/>
      <c r="W12"/>
      <c r="X12"/>
    </row>
    <row r="13" spans="1:24" x14ac:dyDescent="0.15">
      <c r="A13" s="2">
        <v>12</v>
      </c>
      <c r="B13" s="2">
        <v>7000</v>
      </c>
      <c r="C13" s="2">
        <v>2000</v>
      </c>
      <c r="D13" s="2">
        <v>6000</v>
      </c>
      <c r="E13" s="2">
        <v>18</v>
      </c>
      <c r="F13" s="2">
        <f t="shared" si="0"/>
        <v>1</v>
      </c>
      <c r="G13" s="2">
        <f t="shared" si="1"/>
        <v>0</v>
      </c>
      <c r="H13" s="2">
        <f t="shared" si="2"/>
        <v>0</v>
      </c>
      <c r="I13" s="2">
        <f t="shared" si="3"/>
        <v>0</v>
      </c>
      <c r="J13" s="2">
        <f t="shared" si="4"/>
        <v>1</v>
      </c>
      <c r="K13" s="2">
        <f t="shared" si="5"/>
        <v>0</v>
      </c>
      <c r="L13" s="2" t="s">
        <v>427</v>
      </c>
      <c r="M13" s="2" t="s">
        <v>448</v>
      </c>
      <c r="N13" s="2" t="s">
        <v>451</v>
      </c>
      <c r="P13" t="s">
        <v>486</v>
      </c>
      <c r="Q13">
        <v>133</v>
      </c>
      <c r="R13">
        <v>462559469.60272807</v>
      </c>
      <c r="S13">
        <v>3477890.7488926924</v>
      </c>
      <c r="T13"/>
      <c r="U13"/>
      <c r="V13"/>
      <c r="W13"/>
      <c r="X13"/>
    </row>
    <row r="14" spans="1:24" ht="14" thickBot="1" x14ac:dyDescent="0.2">
      <c r="A14" s="2">
        <v>13</v>
      </c>
      <c r="B14" s="2">
        <v>6500</v>
      </c>
      <c r="C14" s="2">
        <v>2700</v>
      </c>
      <c r="D14" s="2">
        <v>7999</v>
      </c>
      <c r="E14" s="2">
        <v>6</v>
      </c>
      <c r="F14" s="2">
        <f t="shared" si="0"/>
        <v>0</v>
      </c>
      <c r="G14" s="2">
        <f t="shared" si="1"/>
        <v>1</v>
      </c>
      <c r="H14" s="2">
        <f t="shared" si="2"/>
        <v>0</v>
      </c>
      <c r="I14" s="2">
        <f t="shared" si="3"/>
        <v>1</v>
      </c>
      <c r="J14" s="2">
        <f t="shared" si="4"/>
        <v>0</v>
      </c>
      <c r="K14" s="2">
        <f t="shared" si="5"/>
        <v>0</v>
      </c>
      <c r="L14" s="2" t="s">
        <v>454</v>
      </c>
      <c r="M14" s="2" t="s">
        <v>452</v>
      </c>
      <c r="N14" s="2" t="s">
        <v>450</v>
      </c>
      <c r="P14" s="5" t="s">
        <v>487</v>
      </c>
      <c r="Q14" s="5">
        <v>141</v>
      </c>
      <c r="R14" s="5">
        <v>786759395.2183094</v>
      </c>
      <c r="S14" s="5"/>
      <c r="T14" s="5"/>
      <c r="U14" s="5"/>
      <c r="V14"/>
      <c r="W14"/>
      <c r="X14"/>
    </row>
    <row r="15" spans="1:24" ht="14" thickBot="1" x14ac:dyDescent="0.2">
      <c r="A15" s="2">
        <v>14</v>
      </c>
      <c r="B15" s="2">
        <v>5000</v>
      </c>
      <c r="C15" s="2">
        <v>1500</v>
      </c>
      <c r="D15" s="2">
        <v>2000</v>
      </c>
      <c r="E15" s="2">
        <v>17</v>
      </c>
      <c r="F15" s="2">
        <f t="shared" si="0"/>
        <v>0</v>
      </c>
      <c r="G15" s="2">
        <f t="shared" si="1"/>
        <v>0</v>
      </c>
      <c r="H15" s="2">
        <f t="shared" si="2"/>
        <v>0</v>
      </c>
      <c r="I15" s="2">
        <f t="shared" si="3"/>
        <v>1</v>
      </c>
      <c r="J15" s="2">
        <f t="shared" si="4"/>
        <v>0</v>
      </c>
      <c r="K15" s="2">
        <f t="shared" si="5"/>
        <v>0</v>
      </c>
      <c r="L15" s="2" t="s">
        <v>454</v>
      </c>
      <c r="M15" s="2" t="s">
        <v>448</v>
      </c>
      <c r="N15" s="2" t="s">
        <v>450</v>
      </c>
      <c r="P15"/>
      <c r="Q15"/>
      <c r="R15"/>
      <c r="S15"/>
      <c r="T15"/>
      <c r="U15"/>
      <c r="V15"/>
      <c r="W15"/>
      <c r="X15"/>
    </row>
    <row r="16" spans="1:24" x14ac:dyDescent="0.15">
      <c r="A16" s="2">
        <v>16</v>
      </c>
      <c r="B16" s="2">
        <v>8999</v>
      </c>
      <c r="C16" s="2">
        <v>2000</v>
      </c>
      <c r="D16" s="2">
        <v>5199</v>
      </c>
      <c r="E16" s="2">
        <v>6</v>
      </c>
      <c r="F16" s="2">
        <f t="shared" si="0"/>
        <v>0</v>
      </c>
      <c r="G16" s="2">
        <f t="shared" si="1"/>
        <v>1</v>
      </c>
      <c r="H16" s="2">
        <f t="shared" si="2"/>
        <v>0</v>
      </c>
      <c r="I16" s="2">
        <f t="shared" si="3"/>
        <v>0</v>
      </c>
      <c r="J16" s="2">
        <f t="shared" si="4"/>
        <v>0</v>
      </c>
      <c r="K16" s="2">
        <f t="shared" si="5"/>
        <v>1</v>
      </c>
      <c r="L16" s="2" t="s">
        <v>454</v>
      </c>
      <c r="M16" s="2" t="s">
        <v>452</v>
      </c>
      <c r="N16" s="2" t="s">
        <v>449</v>
      </c>
      <c r="P16" s="6"/>
      <c r="Q16" s="6" t="s">
        <v>478</v>
      </c>
      <c r="R16" s="6" t="s">
        <v>457</v>
      </c>
      <c r="S16" s="6" t="s">
        <v>479</v>
      </c>
      <c r="T16" s="6" t="s">
        <v>480</v>
      </c>
      <c r="U16" s="6" t="s">
        <v>481</v>
      </c>
      <c r="V16" s="6" t="s">
        <v>482</v>
      </c>
      <c r="W16" s="6" t="s">
        <v>488</v>
      </c>
      <c r="X16" s="6" t="s">
        <v>489</v>
      </c>
    </row>
    <row r="17" spans="1:24" x14ac:dyDescent="0.15">
      <c r="A17" s="2">
        <v>17</v>
      </c>
      <c r="B17" s="2">
        <v>6000</v>
      </c>
      <c r="C17" s="2">
        <v>1500</v>
      </c>
      <c r="D17" s="2">
        <v>8000</v>
      </c>
      <c r="E17" s="2">
        <v>18</v>
      </c>
      <c r="F17" s="2">
        <f t="shared" si="0"/>
        <v>0</v>
      </c>
      <c r="G17" s="2">
        <f t="shared" si="1"/>
        <v>1</v>
      </c>
      <c r="H17" s="2">
        <f t="shared" si="2"/>
        <v>0</v>
      </c>
      <c r="I17" s="2">
        <f t="shared" si="3"/>
        <v>1</v>
      </c>
      <c r="J17" s="2">
        <f t="shared" si="4"/>
        <v>0</v>
      </c>
      <c r="K17" s="2">
        <f t="shared" si="5"/>
        <v>0</v>
      </c>
      <c r="L17" s="2" t="s">
        <v>454</v>
      </c>
      <c r="M17" s="2" t="s">
        <v>452</v>
      </c>
      <c r="N17" s="2" t="s">
        <v>450</v>
      </c>
      <c r="P17" t="s">
        <v>472</v>
      </c>
      <c r="Q17">
        <v>4237.706346097284</v>
      </c>
      <c r="R17">
        <v>737.45245458166244</v>
      </c>
      <c r="S17">
        <v>5.7464129650246054</v>
      </c>
      <c r="T17">
        <v>5.9293820525912623E-8</v>
      </c>
      <c r="U17">
        <v>2779.0539567693481</v>
      </c>
      <c r="V17">
        <v>5696.3587354252204</v>
      </c>
      <c r="W17">
        <v>2779.0539567693481</v>
      </c>
      <c r="X17">
        <v>5696.3587354252204</v>
      </c>
    </row>
    <row r="18" spans="1:24" x14ac:dyDescent="0.15">
      <c r="A18" s="2">
        <v>18</v>
      </c>
      <c r="B18" s="2">
        <v>8000</v>
      </c>
      <c r="C18" s="2">
        <v>2500</v>
      </c>
      <c r="D18" s="2">
        <v>3000</v>
      </c>
      <c r="E18" s="2">
        <v>19</v>
      </c>
      <c r="F18" s="2">
        <f t="shared" si="0"/>
        <v>1</v>
      </c>
      <c r="G18" s="2">
        <f t="shared" si="1"/>
        <v>0</v>
      </c>
      <c r="H18" s="2">
        <f t="shared" si="2"/>
        <v>0</v>
      </c>
      <c r="I18" s="2">
        <f t="shared" si="3"/>
        <v>0</v>
      </c>
      <c r="J18" s="2">
        <f t="shared" si="4"/>
        <v>0</v>
      </c>
      <c r="K18" s="2">
        <f t="shared" si="5"/>
        <v>1</v>
      </c>
      <c r="L18" s="2" t="s">
        <v>427</v>
      </c>
      <c r="M18" s="2" t="s">
        <v>448</v>
      </c>
      <c r="N18" s="2" t="s">
        <v>449</v>
      </c>
      <c r="P18" t="s">
        <v>429</v>
      </c>
      <c r="Q18">
        <v>0.25110035946518738</v>
      </c>
      <c r="R18">
        <v>0.27132747857563205</v>
      </c>
      <c r="S18">
        <v>0.92545126937887201</v>
      </c>
      <c r="T18">
        <v>0.35640738160756547</v>
      </c>
      <c r="U18">
        <v>-0.2855748830617108</v>
      </c>
      <c r="V18">
        <v>0.78777560199208552</v>
      </c>
      <c r="W18">
        <v>-0.2855748830617108</v>
      </c>
      <c r="X18">
        <v>0.78777560199208552</v>
      </c>
    </row>
    <row r="19" spans="1:24" x14ac:dyDescent="0.15">
      <c r="A19" s="2">
        <v>19</v>
      </c>
      <c r="B19" s="2">
        <v>5999</v>
      </c>
      <c r="C19" s="2">
        <v>2500</v>
      </c>
      <c r="D19" s="2">
        <v>5690</v>
      </c>
      <c r="E19" s="2">
        <v>20</v>
      </c>
      <c r="F19" s="2">
        <f t="shared" si="0"/>
        <v>0</v>
      </c>
      <c r="G19" s="2">
        <f t="shared" si="1"/>
        <v>1</v>
      </c>
      <c r="H19" s="2">
        <f t="shared" si="2"/>
        <v>0</v>
      </c>
      <c r="I19" s="2">
        <f t="shared" si="3"/>
        <v>1</v>
      </c>
      <c r="J19" s="2">
        <f t="shared" si="4"/>
        <v>0</v>
      </c>
      <c r="K19" s="2">
        <f t="shared" si="5"/>
        <v>0</v>
      </c>
      <c r="L19" s="2" t="s">
        <v>454</v>
      </c>
      <c r="M19" s="2" t="s">
        <v>452</v>
      </c>
      <c r="N19" s="2" t="s">
        <v>450</v>
      </c>
      <c r="P19" t="s">
        <v>431</v>
      </c>
      <c r="Q19">
        <v>0.28285212968494405</v>
      </c>
      <c r="R19">
        <v>6.3791464304393378E-2</v>
      </c>
      <c r="S19">
        <v>4.4340121796743857</v>
      </c>
      <c r="T19">
        <v>1.9187193340718189E-5</v>
      </c>
      <c r="U19">
        <v>0.15667508430631591</v>
      </c>
      <c r="V19">
        <v>0.40902917506357223</v>
      </c>
      <c r="W19">
        <v>0.15667508430631591</v>
      </c>
      <c r="X19">
        <v>0.40902917506357223</v>
      </c>
    </row>
    <row r="20" spans="1:24" x14ac:dyDescent="0.15">
      <c r="A20" s="2">
        <v>20</v>
      </c>
      <c r="B20" s="2">
        <v>7500</v>
      </c>
      <c r="C20" s="2">
        <v>2000</v>
      </c>
      <c r="D20" s="2">
        <v>5500</v>
      </c>
      <c r="E20" s="2">
        <v>18</v>
      </c>
      <c r="F20" s="2">
        <f t="shared" si="0"/>
        <v>0</v>
      </c>
      <c r="G20" s="2">
        <f t="shared" si="1"/>
        <v>1</v>
      </c>
      <c r="H20" s="2">
        <f t="shared" si="2"/>
        <v>0</v>
      </c>
      <c r="I20" s="2">
        <f t="shared" si="3"/>
        <v>1</v>
      </c>
      <c r="J20" s="2">
        <f t="shared" si="4"/>
        <v>0</v>
      </c>
      <c r="K20" s="2">
        <f t="shared" si="5"/>
        <v>0</v>
      </c>
      <c r="L20" s="2" t="s">
        <v>454</v>
      </c>
      <c r="M20" s="2" t="s">
        <v>452</v>
      </c>
      <c r="N20" s="2" t="s">
        <v>450</v>
      </c>
      <c r="P20" t="s">
        <v>435</v>
      </c>
      <c r="Q20">
        <v>-36.045261668521015</v>
      </c>
      <c r="R20">
        <v>15.609077462124151</v>
      </c>
      <c r="S20">
        <v>-2.3092499704730032</v>
      </c>
      <c r="T20">
        <v>2.2470912053596283E-2</v>
      </c>
      <c r="U20">
        <v>-66.919412257996029</v>
      </c>
      <c r="V20">
        <v>-5.1711110790460024</v>
      </c>
      <c r="W20">
        <v>-66.919412257996029</v>
      </c>
      <c r="X20">
        <v>-5.1711110790460024</v>
      </c>
    </row>
    <row r="21" spans="1:24" x14ac:dyDescent="0.15">
      <c r="A21" s="2">
        <v>21</v>
      </c>
      <c r="B21" s="2">
        <v>7000</v>
      </c>
      <c r="C21" s="2">
        <v>1500</v>
      </c>
      <c r="D21" s="2">
        <v>3000</v>
      </c>
      <c r="E21" s="2">
        <v>15</v>
      </c>
      <c r="F21" s="2">
        <f t="shared" si="0"/>
        <v>0</v>
      </c>
      <c r="G21" s="2">
        <f t="shared" si="1"/>
        <v>1</v>
      </c>
      <c r="H21" s="2">
        <f t="shared" si="2"/>
        <v>0</v>
      </c>
      <c r="I21" s="2">
        <f t="shared" si="3"/>
        <v>1</v>
      </c>
      <c r="J21" s="2">
        <f t="shared" si="4"/>
        <v>0</v>
      </c>
      <c r="K21" s="2">
        <f t="shared" si="5"/>
        <v>0</v>
      </c>
      <c r="L21" s="2" t="s">
        <v>454</v>
      </c>
      <c r="M21" s="2" t="s">
        <v>452</v>
      </c>
      <c r="N21" s="2" t="s">
        <v>450</v>
      </c>
      <c r="P21" t="s">
        <v>427</v>
      </c>
      <c r="Q21">
        <v>1299.0719090323485</v>
      </c>
      <c r="R21">
        <v>398.6622568958054</v>
      </c>
      <c r="S21">
        <v>3.2585776219389504</v>
      </c>
      <c r="T21">
        <v>1.4215219533587305E-3</v>
      </c>
      <c r="U21">
        <v>510.53340740676333</v>
      </c>
      <c r="V21">
        <v>2087.6104106579337</v>
      </c>
      <c r="W21">
        <v>510.53340740676333</v>
      </c>
      <c r="X21">
        <v>2087.6104106579337</v>
      </c>
    </row>
    <row r="22" spans="1:24" x14ac:dyDescent="0.15">
      <c r="A22" s="2">
        <v>22</v>
      </c>
      <c r="B22" s="2">
        <v>7000</v>
      </c>
      <c r="C22" s="2">
        <v>1500</v>
      </c>
      <c r="D22" s="2">
        <v>6000</v>
      </c>
      <c r="E22" s="2">
        <v>18</v>
      </c>
      <c r="F22" s="2">
        <f t="shared" si="0"/>
        <v>0</v>
      </c>
      <c r="G22" s="2">
        <f t="shared" si="1"/>
        <v>1</v>
      </c>
      <c r="H22" s="2">
        <f t="shared" si="2"/>
        <v>0</v>
      </c>
      <c r="I22" s="2">
        <f t="shared" si="3"/>
        <v>1</v>
      </c>
      <c r="J22" s="2">
        <f t="shared" si="4"/>
        <v>0</v>
      </c>
      <c r="K22" s="2">
        <f t="shared" si="5"/>
        <v>0</v>
      </c>
      <c r="L22" s="2" t="s">
        <v>454</v>
      </c>
      <c r="M22" s="2" t="s">
        <v>452</v>
      </c>
      <c r="N22" s="2" t="s">
        <v>450</v>
      </c>
      <c r="P22" t="s">
        <v>452</v>
      </c>
      <c r="Q22">
        <v>-674.24604846160469</v>
      </c>
      <c r="R22">
        <v>388.48901039852848</v>
      </c>
      <c r="S22">
        <v>-1.7355601584969793</v>
      </c>
      <c r="T22">
        <v>8.4957760125374274E-2</v>
      </c>
      <c r="U22">
        <v>-1442.662262584746</v>
      </c>
      <c r="V22">
        <v>94.170165661536686</v>
      </c>
      <c r="W22">
        <v>-1442.662262584746</v>
      </c>
      <c r="X22">
        <v>94.170165661536686</v>
      </c>
    </row>
    <row r="23" spans="1:24" x14ac:dyDescent="0.15">
      <c r="A23" s="2">
        <v>23</v>
      </c>
      <c r="B23" s="2">
        <v>4300</v>
      </c>
      <c r="C23" s="2">
        <v>1700</v>
      </c>
      <c r="D23" s="2">
        <v>3900</v>
      </c>
      <c r="E23" s="2">
        <v>18</v>
      </c>
      <c r="F23" s="2">
        <f t="shared" si="0"/>
        <v>0</v>
      </c>
      <c r="G23" s="2">
        <f t="shared" si="1"/>
        <v>1</v>
      </c>
      <c r="H23" s="2">
        <f t="shared" si="2"/>
        <v>0</v>
      </c>
      <c r="I23" s="2">
        <f t="shared" si="3"/>
        <v>1</v>
      </c>
      <c r="J23" s="2">
        <f t="shared" si="4"/>
        <v>0</v>
      </c>
      <c r="K23" s="2">
        <f t="shared" si="5"/>
        <v>0</v>
      </c>
      <c r="L23" s="2" t="s">
        <v>454</v>
      </c>
      <c r="M23" s="2" t="s">
        <v>452</v>
      </c>
      <c r="N23" s="2" t="s">
        <v>450</v>
      </c>
      <c r="P23" t="s">
        <v>453</v>
      </c>
      <c r="Q23">
        <v>1307.5769197014024</v>
      </c>
      <c r="R23">
        <v>668.65181049672947</v>
      </c>
      <c r="S23">
        <v>1.9555423303647781</v>
      </c>
      <c r="T23">
        <v>5.2615599734224104E-2</v>
      </c>
      <c r="U23">
        <v>-14.990460676745888</v>
      </c>
      <c r="V23">
        <v>2630.1443000795507</v>
      </c>
      <c r="W23">
        <v>-14.990460676745888</v>
      </c>
      <c r="X23">
        <v>2630.1443000795507</v>
      </c>
    </row>
    <row r="24" spans="1:24" x14ac:dyDescent="0.15">
      <c r="A24" s="2">
        <v>24</v>
      </c>
      <c r="B24" s="2">
        <v>6300</v>
      </c>
      <c r="C24" s="2">
        <v>2500</v>
      </c>
      <c r="D24" s="2">
        <v>10000</v>
      </c>
      <c r="E24" s="2">
        <v>36</v>
      </c>
      <c r="F24" s="2">
        <f t="shared" si="0"/>
        <v>0</v>
      </c>
      <c r="G24" s="2">
        <f t="shared" si="1"/>
        <v>1</v>
      </c>
      <c r="H24" s="2">
        <f t="shared" si="2"/>
        <v>0</v>
      </c>
      <c r="I24" s="2">
        <f t="shared" si="3"/>
        <v>1</v>
      </c>
      <c r="J24" s="2">
        <f t="shared" si="4"/>
        <v>0</v>
      </c>
      <c r="K24" s="2">
        <f t="shared" si="5"/>
        <v>0</v>
      </c>
      <c r="L24" s="2" t="s">
        <v>454</v>
      </c>
      <c r="M24" s="2" t="s">
        <v>452</v>
      </c>
      <c r="N24" s="2" t="s">
        <v>450</v>
      </c>
      <c r="P24" t="s">
        <v>450</v>
      </c>
      <c r="Q24">
        <v>423.98528504398791</v>
      </c>
      <c r="R24">
        <v>467.7199215722556</v>
      </c>
      <c r="S24">
        <v>0.90649396249522085</v>
      </c>
      <c r="T24">
        <v>0.36631383767685677</v>
      </c>
      <c r="U24">
        <v>-501.14660230549941</v>
      </c>
      <c r="V24">
        <v>1349.1171723934751</v>
      </c>
      <c r="W24">
        <v>-501.14660230549941</v>
      </c>
      <c r="X24">
        <v>1349.1171723934751</v>
      </c>
    </row>
    <row r="25" spans="1:24" ht="14" thickBot="1" x14ac:dyDescent="0.2">
      <c r="A25" s="2">
        <v>25</v>
      </c>
      <c r="B25" s="2">
        <v>5100</v>
      </c>
      <c r="C25" s="2">
        <v>2200</v>
      </c>
      <c r="D25" s="2">
        <v>2900</v>
      </c>
      <c r="E25" s="2">
        <v>17</v>
      </c>
      <c r="F25" s="2">
        <f t="shared" si="0"/>
        <v>0</v>
      </c>
      <c r="G25" s="2">
        <f t="shared" si="1"/>
        <v>0</v>
      </c>
      <c r="H25" s="2">
        <f t="shared" si="2"/>
        <v>0</v>
      </c>
      <c r="I25" s="2">
        <f t="shared" si="3"/>
        <v>0</v>
      </c>
      <c r="J25" s="2">
        <f t="shared" si="4"/>
        <v>0</v>
      </c>
      <c r="K25" s="2">
        <f t="shared" si="5"/>
        <v>1</v>
      </c>
      <c r="L25" s="2" t="s">
        <v>454</v>
      </c>
      <c r="M25" s="2" t="s">
        <v>448</v>
      </c>
      <c r="N25" s="2" t="s">
        <v>449</v>
      </c>
      <c r="P25" s="5" t="s">
        <v>451</v>
      </c>
      <c r="Q25" s="5">
        <v>1775.2768122856094</v>
      </c>
      <c r="R25" s="5">
        <v>595.14113596865002</v>
      </c>
      <c r="S25" s="5">
        <v>2.9829509422099916</v>
      </c>
      <c r="T25" s="5">
        <v>3.3971716630713821E-3</v>
      </c>
      <c r="U25" s="5">
        <v>598.11069862684315</v>
      </c>
      <c r="V25" s="5">
        <v>2952.4429259443755</v>
      </c>
      <c r="W25" s="5">
        <v>598.11069862684315</v>
      </c>
      <c r="X25" s="5">
        <v>2952.4429259443755</v>
      </c>
    </row>
    <row r="26" spans="1:24" x14ac:dyDescent="0.15">
      <c r="A26" s="2">
        <v>26</v>
      </c>
      <c r="B26" s="2">
        <v>7000</v>
      </c>
      <c r="C26" s="2">
        <v>1500</v>
      </c>
      <c r="D26" s="2">
        <v>6000</v>
      </c>
      <c r="E26" s="2">
        <v>62</v>
      </c>
      <c r="F26" s="2">
        <f t="shared" si="0"/>
        <v>0</v>
      </c>
      <c r="G26" s="2">
        <f t="shared" si="1"/>
        <v>1</v>
      </c>
      <c r="H26" s="2">
        <f t="shared" si="2"/>
        <v>0</v>
      </c>
      <c r="I26" s="2">
        <f t="shared" si="3"/>
        <v>1</v>
      </c>
      <c r="J26" s="2">
        <f t="shared" si="4"/>
        <v>0</v>
      </c>
      <c r="K26" s="2">
        <f t="shared" si="5"/>
        <v>0</v>
      </c>
      <c r="L26" s="2" t="s">
        <v>454</v>
      </c>
      <c r="M26" s="2" t="s">
        <v>452</v>
      </c>
      <c r="N26" s="2" t="s">
        <v>450</v>
      </c>
      <c r="P26"/>
      <c r="Q26"/>
      <c r="R26"/>
      <c r="S26"/>
      <c r="T26"/>
      <c r="U26"/>
      <c r="V26"/>
      <c r="W26"/>
      <c r="X26"/>
    </row>
    <row r="27" spans="1:24" ht="14" thickBot="1" x14ac:dyDescent="0.2">
      <c r="A27" s="2">
        <v>27</v>
      </c>
      <c r="B27" s="2">
        <v>5600</v>
      </c>
      <c r="C27" s="2">
        <v>2000</v>
      </c>
      <c r="D27" s="2">
        <v>3400</v>
      </c>
      <c r="E27" s="2">
        <v>6</v>
      </c>
      <c r="F27" s="2">
        <f t="shared" si="0"/>
        <v>1</v>
      </c>
      <c r="G27" s="2">
        <f t="shared" si="1"/>
        <v>1</v>
      </c>
      <c r="H27" s="2">
        <f t="shared" si="2"/>
        <v>0</v>
      </c>
      <c r="I27" s="2">
        <f t="shared" si="3"/>
        <v>1</v>
      </c>
      <c r="J27" s="2">
        <f t="shared" si="4"/>
        <v>0</v>
      </c>
      <c r="K27" s="2">
        <f t="shared" si="5"/>
        <v>0</v>
      </c>
      <c r="L27" s="2" t="s">
        <v>427</v>
      </c>
      <c r="M27" s="2" t="s">
        <v>452</v>
      </c>
      <c r="N27" s="2" t="s">
        <v>450</v>
      </c>
      <c r="P27"/>
      <c r="Q27"/>
      <c r="R27"/>
      <c r="S27"/>
      <c r="T27"/>
      <c r="U27"/>
      <c r="V27"/>
      <c r="W27"/>
      <c r="X27"/>
    </row>
    <row r="28" spans="1:24" x14ac:dyDescent="0.15">
      <c r="A28" s="2">
        <v>28</v>
      </c>
      <c r="B28" s="2">
        <v>6789</v>
      </c>
      <c r="C28" s="2">
        <v>2000</v>
      </c>
      <c r="D28" s="2">
        <v>5999</v>
      </c>
      <c r="E28" s="2">
        <v>24</v>
      </c>
      <c r="F28" s="2">
        <f t="shared" si="0"/>
        <v>0</v>
      </c>
      <c r="G28" s="2">
        <f t="shared" si="1"/>
        <v>0</v>
      </c>
      <c r="H28" s="2">
        <f t="shared" si="2"/>
        <v>0</v>
      </c>
      <c r="I28" s="2">
        <f t="shared" si="3"/>
        <v>0</v>
      </c>
      <c r="J28" s="2">
        <f t="shared" si="4"/>
        <v>1</v>
      </c>
      <c r="K28" s="2">
        <f t="shared" si="5"/>
        <v>0</v>
      </c>
      <c r="L28" s="2" t="s">
        <v>454</v>
      </c>
      <c r="M28" s="2" t="s">
        <v>448</v>
      </c>
      <c r="N28" s="2" t="s">
        <v>451</v>
      </c>
      <c r="P28" s="6"/>
      <c r="Q28" s="6" t="s">
        <v>433</v>
      </c>
      <c r="R28" s="6" t="s">
        <v>429</v>
      </c>
      <c r="S28" s="6" t="s">
        <v>431</v>
      </c>
      <c r="T28" s="6" t="s">
        <v>435</v>
      </c>
      <c r="U28"/>
      <c r="V28"/>
      <c r="W28"/>
      <c r="X28"/>
    </row>
    <row r="29" spans="1:24" x14ac:dyDescent="0.15">
      <c r="A29" s="2">
        <v>29</v>
      </c>
      <c r="B29" s="2">
        <v>5400</v>
      </c>
      <c r="C29" s="2">
        <v>2000</v>
      </c>
      <c r="D29" s="2">
        <v>3200</v>
      </c>
      <c r="E29" s="2">
        <v>18</v>
      </c>
      <c r="F29" s="2">
        <f t="shared" si="0"/>
        <v>0</v>
      </c>
      <c r="G29" s="2">
        <f t="shared" si="1"/>
        <v>0</v>
      </c>
      <c r="H29" s="2">
        <f t="shared" si="2"/>
        <v>0</v>
      </c>
      <c r="I29" s="2">
        <f t="shared" si="3"/>
        <v>0</v>
      </c>
      <c r="J29" s="2">
        <f t="shared" si="4"/>
        <v>1</v>
      </c>
      <c r="K29" s="2">
        <f t="shared" si="5"/>
        <v>0</v>
      </c>
      <c r="L29" s="2" t="s">
        <v>454</v>
      </c>
      <c r="M29" s="2" t="s">
        <v>448</v>
      </c>
      <c r="N29" s="2" t="s">
        <v>451</v>
      </c>
      <c r="P29" t="s">
        <v>433</v>
      </c>
      <c r="Q29">
        <v>1</v>
      </c>
      <c r="R29"/>
      <c r="S29"/>
      <c r="T29"/>
    </row>
    <row r="30" spans="1:24" x14ac:dyDescent="0.15">
      <c r="A30" s="2">
        <v>30</v>
      </c>
      <c r="B30" s="2">
        <v>5320</v>
      </c>
      <c r="C30" s="2">
        <v>2000</v>
      </c>
      <c r="D30" s="2">
        <v>5499</v>
      </c>
      <c r="E30" s="2">
        <v>17</v>
      </c>
      <c r="F30" s="2">
        <f t="shared" si="0"/>
        <v>0</v>
      </c>
      <c r="G30" s="2">
        <f t="shared" si="1"/>
        <v>0</v>
      </c>
      <c r="H30" s="2">
        <f t="shared" si="2"/>
        <v>0</v>
      </c>
      <c r="I30" s="2">
        <f t="shared" si="3"/>
        <v>1</v>
      </c>
      <c r="J30" s="2">
        <f t="shared" si="4"/>
        <v>0</v>
      </c>
      <c r="K30" s="2">
        <f t="shared" si="5"/>
        <v>0</v>
      </c>
      <c r="L30" s="2" t="s">
        <v>454</v>
      </c>
      <c r="M30" s="2" t="s">
        <v>448</v>
      </c>
      <c r="N30" s="2" t="s">
        <v>450</v>
      </c>
      <c r="P30" t="s">
        <v>429</v>
      </c>
      <c r="Q30">
        <v>0.26197714663139776</v>
      </c>
      <c r="R30">
        <v>1</v>
      </c>
      <c r="S30"/>
      <c r="T30"/>
    </row>
    <row r="31" spans="1:24" x14ac:dyDescent="0.15">
      <c r="A31" s="2">
        <v>31</v>
      </c>
      <c r="B31" s="2">
        <v>3000</v>
      </c>
      <c r="C31" s="2">
        <v>2000</v>
      </c>
      <c r="D31" s="2">
        <v>1800</v>
      </c>
      <c r="E31" s="2">
        <v>15</v>
      </c>
      <c r="F31" s="2">
        <f t="shared" si="0"/>
        <v>0</v>
      </c>
      <c r="G31" s="2">
        <f t="shared" si="1"/>
        <v>0</v>
      </c>
      <c r="H31" s="2">
        <f t="shared" si="2"/>
        <v>0</v>
      </c>
      <c r="I31" s="2">
        <f t="shared" si="3"/>
        <v>0</v>
      </c>
      <c r="J31" s="2">
        <f t="shared" si="4"/>
        <v>0</v>
      </c>
      <c r="K31" s="2">
        <f t="shared" si="5"/>
        <v>1</v>
      </c>
      <c r="L31" s="2" t="s">
        <v>454</v>
      </c>
      <c r="M31" s="2" t="s">
        <v>448</v>
      </c>
      <c r="N31" s="2" t="s">
        <v>449</v>
      </c>
      <c r="P31" t="s">
        <v>431</v>
      </c>
      <c r="Q31">
        <v>0.41132295056559759</v>
      </c>
      <c r="R31">
        <v>0.41937871658901349</v>
      </c>
      <c r="S31">
        <v>1</v>
      </c>
      <c r="T31"/>
    </row>
    <row r="32" spans="1:24" ht="14" thickBot="1" x14ac:dyDescent="0.2">
      <c r="A32" s="2">
        <v>32</v>
      </c>
      <c r="B32" s="2">
        <v>4000</v>
      </c>
      <c r="C32" s="2">
        <v>1800</v>
      </c>
      <c r="D32" s="2">
        <v>3400</v>
      </c>
      <c r="E32" s="2">
        <v>41</v>
      </c>
      <c r="F32" s="2">
        <f t="shared" si="0"/>
        <v>0</v>
      </c>
      <c r="G32" s="2">
        <f t="shared" si="1"/>
        <v>1</v>
      </c>
      <c r="H32" s="2">
        <f t="shared" si="2"/>
        <v>0</v>
      </c>
      <c r="I32" s="2">
        <f t="shared" si="3"/>
        <v>1</v>
      </c>
      <c r="J32" s="2">
        <f t="shared" si="4"/>
        <v>0</v>
      </c>
      <c r="K32" s="2">
        <f t="shared" si="5"/>
        <v>0</v>
      </c>
      <c r="L32" s="2" t="s">
        <v>454</v>
      </c>
      <c r="M32" s="2" t="s">
        <v>452</v>
      </c>
      <c r="N32" s="2" t="s">
        <v>450</v>
      </c>
      <c r="P32" s="5" t="s">
        <v>435</v>
      </c>
      <c r="Q32" s="5">
        <v>-0.25066386708853605</v>
      </c>
      <c r="R32" s="5">
        <v>-9.3394924726444457E-3</v>
      </c>
      <c r="S32" s="5">
        <v>-6.6101661983823806E-2</v>
      </c>
      <c r="T32" s="5">
        <v>1</v>
      </c>
    </row>
    <row r="33" spans="1:14" x14ac:dyDescent="0.15">
      <c r="A33" s="2">
        <v>33</v>
      </c>
      <c r="B33" s="2">
        <v>6500</v>
      </c>
      <c r="C33" s="2">
        <v>1500</v>
      </c>
      <c r="D33" s="2">
        <v>3700</v>
      </c>
      <c r="E33" s="2">
        <v>20</v>
      </c>
      <c r="F33" s="2">
        <f t="shared" si="0"/>
        <v>1</v>
      </c>
      <c r="G33" s="2">
        <f t="shared" si="1"/>
        <v>0</v>
      </c>
      <c r="H33" s="2">
        <f t="shared" si="2"/>
        <v>0</v>
      </c>
      <c r="I33" s="2">
        <f t="shared" si="3"/>
        <v>0</v>
      </c>
      <c r="J33" s="2">
        <f t="shared" si="4"/>
        <v>1</v>
      </c>
      <c r="K33" s="2">
        <f t="shared" si="5"/>
        <v>0</v>
      </c>
      <c r="L33" s="2" t="s">
        <v>427</v>
      </c>
      <c r="M33" s="2" t="s">
        <v>448</v>
      </c>
      <c r="N33" s="2" t="s">
        <v>451</v>
      </c>
    </row>
    <row r="34" spans="1:14" x14ac:dyDescent="0.15">
      <c r="A34" s="2">
        <v>34</v>
      </c>
      <c r="B34" s="2">
        <v>6199</v>
      </c>
      <c r="C34" s="2">
        <v>3000</v>
      </c>
      <c r="D34" s="2">
        <v>10999</v>
      </c>
      <c r="E34" s="2">
        <v>4</v>
      </c>
      <c r="F34" s="2">
        <f t="shared" ref="F34:F65" si="6">IF(L34="male",1,0)</f>
        <v>0</v>
      </c>
      <c r="G34" s="2">
        <f t="shared" ref="G34:G65" si="7">IF(M34="lite",1,0)</f>
        <v>1</v>
      </c>
      <c r="H34" s="2">
        <f t="shared" ref="H34:H65" si="8">IF(N34="premium",1,0)</f>
        <v>0</v>
      </c>
      <c r="I34" s="2">
        <f t="shared" ref="I34:I65" si="9">IF(N34="mainstream",1,0)</f>
        <v>1</v>
      </c>
      <c r="J34" s="2">
        <f t="shared" ref="J34:J65" si="10">IF(N34="gaming",1,0)</f>
        <v>0</v>
      </c>
      <c r="K34" s="2">
        <f t="shared" ref="K34:K65" si="11">IF(N34="value",1,0)</f>
        <v>0</v>
      </c>
      <c r="L34" s="2" t="s">
        <v>454</v>
      </c>
      <c r="M34" s="2" t="s">
        <v>452</v>
      </c>
      <c r="N34" s="2" t="s">
        <v>450</v>
      </c>
    </row>
    <row r="35" spans="1:14" x14ac:dyDescent="0.15">
      <c r="A35" s="2">
        <v>35</v>
      </c>
      <c r="B35" s="2">
        <v>4500</v>
      </c>
      <c r="C35" s="2">
        <v>1500</v>
      </c>
      <c r="D35" s="2">
        <v>7900</v>
      </c>
      <c r="E35" s="2">
        <v>19</v>
      </c>
      <c r="F35" s="2">
        <f t="shared" si="6"/>
        <v>0</v>
      </c>
      <c r="G35" s="2">
        <f t="shared" si="7"/>
        <v>1</v>
      </c>
      <c r="H35" s="2">
        <f t="shared" si="8"/>
        <v>0</v>
      </c>
      <c r="I35" s="2">
        <f t="shared" si="9"/>
        <v>1</v>
      </c>
      <c r="J35" s="2">
        <f t="shared" si="10"/>
        <v>0</v>
      </c>
      <c r="K35" s="2">
        <f t="shared" si="11"/>
        <v>0</v>
      </c>
      <c r="L35" s="2" t="s">
        <v>454</v>
      </c>
      <c r="M35" s="2" t="s">
        <v>452</v>
      </c>
      <c r="N35" s="2" t="s">
        <v>450</v>
      </c>
    </row>
    <row r="36" spans="1:14" x14ac:dyDescent="0.15">
      <c r="A36" s="2">
        <v>36</v>
      </c>
      <c r="B36" s="2">
        <v>5000</v>
      </c>
      <c r="C36" s="2">
        <v>1700</v>
      </c>
      <c r="D36" s="2">
        <v>2500</v>
      </c>
      <c r="E36" s="2">
        <v>30</v>
      </c>
      <c r="F36" s="2">
        <f t="shared" si="6"/>
        <v>0</v>
      </c>
      <c r="G36" s="2">
        <f t="shared" si="7"/>
        <v>0</v>
      </c>
      <c r="H36" s="2">
        <f t="shared" si="8"/>
        <v>0</v>
      </c>
      <c r="I36" s="2">
        <f t="shared" si="9"/>
        <v>0</v>
      </c>
      <c r="J36" s="2">
        <f t="shared" si="10"/>
        <v>0</v>
      </c>
      <c r="K36" s="2">
        <f t="shared" si="11"/>
        <v>1</v>
      </c>
      <c r="L36" s="2" t="s">
        <v>454</v>
      </c>
      <c r="M36" s="2" t="s">
        <v>448</v>
      </c>
      <c r="N36" s="2" t="s">
        <v>449</v>
      </c>
    </row>
    <row r="37" spans="1:14" x14ac:dyDescent="0.15">
      <c r="A37" s="2">
        <v>37</v>
      </c>
      <c r="B37" s="2">
        <v>6700</v>
      </c>
      <c r="C37" s="2">
        <v>2000</v>
      </c>
      <c r="D37" s="2">
        <v>4500</v>
      </c>
      <c r="E37" s="2">
        <v>18</v>
      </c>
      <c r="F37" s="2">
        <f t="shared" si="6"/>
        <v>0</v>
      </c>
      <c r="G37" s="2">
        <f t="shared" si="7"/>
        <v>1</v>
      </c>
      <c r="H37" s="2">
        <f t="shared" si="8"/>
        <v>0</v>
      </c>
      <c r="I37" s="2">
        <f t="shared" si="9"/>
        <v>0</v>
      </c>
      <c r="J37" s="2">
        <f t="shared" si="10"/>
        <v>0</v>
      </c>
      <c r="K37" s="2">
        <f t="shared" si="11"/>
        <v>1</v>
      </c>
      <c r="L37" s="2" t="s">
        <v>454</v>
      </c>
      <c r="M37" s="2" t="s">
        <v>452</v>
      </c>
      <c r="N37" s="2" t="s">
        <v>449</v>
      </c>
    </row>
    <row r="38" spans="1:14" x14ac:dyDescent="0.15">
      <c r="A38" s="2">
        <v>38</v>
      </c>
      <c r="B38" s="2">
        <v>6000</v>
      </c>
      <c r="C38" s="2">
        <v>1600</v>
      </c>
      <c r="D38" s="2">
        <v>6000</v>
      </c>
      <c r="E38" s="2">
        <v>18</v>
      </c>
      <c r="F38" s="2">
        <f t="shared" si="6"/>
        <v>0</v>
      </c>
      <c r="G38" s="2">
        <f t="shared" si="7"/>
        <v>0</v>
      </c>
      <c r="H38" s="2">
        <f t="shared" si="8"/>
        <v>0</v>
      </c>
      <c r="I38" s="2">
        <f t="shared" si="9"/>
        <v>1</v>
      </c>
      <c r="J38" s="2">
        <f t="shared" si="10"/>
        <v>0</v>
      </c>
      <c r="K38" s="2">
        <f t="shared" si="11"/>
        <v>0</v>
      </c>
      <c r="L38" s="2" t="s">
        <v>454</v>
      </c>
      <c r="M38" s="2" t="s">
        <v>448</v>
      </c>
      <c r="N38" s="2" t="s">
        <v>450</v>
      </c>
    </row>
    <row r="39" spans="1:14" x14ac:dyDescent="0.15">
      <c r="A39" s="2">
        <v>39</v>
      </c>
      <c r="B39" s="2">
        <v>4700</v>
      </c>
      <c r="C39" s="2">
        <v>2000</v>
      </c>
      <c r="D39" s="2">
        <v>7500</v>
      </c>
      <c r="E39" s="2">
        <v>12</v>
      </c>
      <c r="F39" s="2">
        <f t="shared" si="6"/>
        <v>0</v>
      </c>
      <c r="G39" s="2">
        <f t="shared" si="7"/>
        <v>0</v>
      </c>
      <c r="H39" s="2">
        <f t="shared" si="8"/>
        <v>0</v>
      </c>
      <c r="I39" s="2">
        <f t="shared" si="9"/>
        <v>0</v>
      </c>
      <c r="J39" s="2">
        <f t="shared" si="10"/>
        <v>0</v>
      </c>
      <c r="K39" s="2">
        <f t="shared" si="11"/>
        <v>1</v>
      </c>
      <c r="L39" s="2" t="s">
        <v>454</v>
      </c>
      <c r="M39" s="2" t="s">
        <v>448</v>
      </c>
      <c r="N39" s="2" t="s">
        <v>449</v>
      </c>
    </row>
    <row r="40" spans="1:14" x14ac:dyDescent="0.15">
      <c r="A40" s="2">
        <v>40</v>
      </c>
      <c r="B40" s="2">
        <v>3000</v>
      </c>
      <c r="C40" s="2">
        <v>1500</v>
      </c>
      <c r="D40" s="2">
        <v>5000</v>
      </c>
      <c r="E40" s="2">
        <v>24</v>
      </c>
      <c r="F40" s="2">
        <f t="shared" si="6"/>
        <v>0</v>
      </c>
      <c r="G40" s="2">
        <f t="shared" si="7"/>
        <v>1</v>
      </c>
      <c r="H40" s="2">
        <f t="shared" si="8"/>
        <v>0</v>
      </c>
      <c r="I40" s="2">
        <f t="shared" si="9"/>
        <v>1</v>
      </c>
      <c r="J40" s="2">
        <f t="shared" si="10"/>
        <v>0</v>
      </c>
      <c r="K40" s="2">
        <f t="shared" si="11"/>
        <v>0</v>
      </c>
      <c r="L40" s="2" t="s">
        <v>454</v>
      </c>
      <c r="M40" s="2" t="s">
        <v>452</v>
      </c>
      <c r="N40" s="2" t="s">
        <v>450</v>
      </c>
    </row>
    <row r="41" spans="1:14" x14ac:dyDescent="0.15">
      <c r="A41" s="2">
        <v>41</v>
      </c>
      <c r="B41" s="2">
        <v>5000</v>
      </c>
      <c r="C41" s="2">
        <v>2000</v>
      </c>
      <c r="D41" s="2">
        <v>5300</v>
      </c>
      <c r="E41" s="2">
        <v>12</v>
      </c>
      <c r="F41" s="2">
        <f t="shared" si="6"/>
        <v>1</v>
      </c>
      <c r="G41" s="2">
        <f t="shared" si="7"/>
        <v>0</v>
      </c>
      <c r="H41" s="2">
        <f t="shared" si="8"/>
        <v>0</v>
      </c>
      <c r="I41" s="2">
        <f t="shared" si="9"/>
        <v>0</v>
      </c>
      <c r="J41" s="2">
        <f t="shared" si="10"/>
        <v>0</v>
      </c>
      <c r="K41" s="2">
        <f t="shared" si="11"/>
        <v>1</v>
      </c>
      <c r="L41" s="2" t="s">
        <v>427</v>
      </c>
      <c r="M41" s="2" t="s">
        <v>448</v>
      </c>
      <c r="N41" s="2" t="s">
        <v>449</v>
      </c>
    </row>
    <row r="42" spans="1:14" x14ac:dyDescent="0.15">
      <c r="A42" s="2">
        <v>42</v>
      </c>
      <c r="B42" s="2">
        <v>7299</v>
      </c>
      <c r="C42" s="2">
        <v>2000</v>
      </c>
      <c r="D42" s="2">
        <v>4500</v>
      </c>
      <c r="E42" s="2">
        <v>18</v>
      </c>
      <c r="F42" s="2">
        <f t="shared" si="6"/>
        <v>1</v>
      </c>
      <c r="G42" s="2">
        <f t="shared" si="7"/>
        <v>0</v>
      </c>
      <c r="H42" s="2">
        <f t="shared" si="8"/>
        <v>0</v>
      </c>
      <c r="I42" s="2">
        <f t="shared" si="9"/>
        <v>1</v>
      </c>
      <c r="J42" s="2">
        <f t="shared" si="10"/>
        <v>0</v>
      </c>
      <c r="K42" s="2">
        <f t="shared" si="11"/>
        <v>0</v>
      </c>
      <c r="L42" s="2" t="s">
        <v>427</v>
      </c>
      <c r="M42" s="2" t="s">
        <v>448</v>
      </c>
      <c r="N42" s="2" t="s">
        <v>450</v>
      </c>
    </row>
    <row r="43" spans="1:14" x14ac:dyDescent="0.15">
      <c r="A43" s="2">
        <v>44</v>
      </c>
      <c r="B43" s="2">
        <v>6500</v>
      </c>
      <c r="C43" s="2">
        <v>2000</v>
      </c>
      <c r="D43" s="2">
        <v>7000</v>
      </c>
      <c r="E43" s="2">
        <v>18</v>
      </c>
      <c r="F43" s="2">
        <f t="shared" si="6"/>
        <v>0</v>
      </c>
      <c r="G43" s="2">
        <f t="shared" si="7"/>
        <v>0</v>
      </c>
      <c r="H43" s="2">
        <f t="shared" si="8"/>
        <v>1</v>
      </c>
      <c r="I43" s="2">
        <f t="shared" si="9"/>
        <v>0</v>
      </c>
      <c r="J43" s="2">
        <f t="shared" si="10"/>
        <v>0</v>
      </c>
      <c r="K43" s="2">
        <f t="shared" si="11"/>
        <v>0</v>
      </c>
      <c r="L43" s="2" t="s">
        <v>454</v>
      </c>
      <c r="M43" s="2" t="s">
        <v>448</v>
      </c>
      <c r="N43" s="2" t="s">
        <v>453</v>
      </c>
    </row>
    <row r="44" spans="1:14" x14ac:dyDescent="0.15">
      <c r="A44" s="2">
        <v>45</v>
      </c>
      <c r="B44" s="2">
        <v>6900</v>
      </c>
      <c r="C44" s="2">
        <v>1800</v>
      </c>
      <c r="D44" s="2">
        <v>4900</v>
      </c>
      <c r="E44" s="2">
        <v>19</v>
      </c>
      <c r="F44" s="2">
        <f t="shared" si="6"/>
        <v>0</v>
      </c>
      <c r="G44" s="2">
        <f t="shared" si="7"/>
        <v>1</v>
      </c>
      <c r="H44" s="2">
        <f t="shared" si="8"/>
        <v>0</v>
      </c>
      <c r="I44" s="2">
        <f t="shared" si="9"/>
        <v>1</v>
      </c>
      <c r="J44" s="2">
        <f t="shared" si="10"/>
        <v>0</v>
      </c>
      <c r="K44" s="2">
        <f t="shared" si="11"/>
        <v>0</v>
      </c>
      <c r="L44" s="2" t="s">
        <v>454</v>
      </c>
      <c r="M44" s="2" t="s">
        <v>452</v>
      </c>
      <c r="N44" s="2" t="s">
        <v>450</v>
      </c>
    </row>
    <row r="45" spans="1:14" x14ac:dyDescent="0.15">
      <c r="A45" s="2">
        <v>46</v>
      </c>
      <c r="B45" s="2">
        <v>7800</v>
      </c>
      <c r="C45" s="2">
        <v>1400</v>
      </c>
      <c r="D45" s="2">
        <v>2450</v>
      </c>
      <c r="E45" s="2">
        <v>12</v>
      </c>
      <c r="F45" s="2">
        <f t="shared" si="6"/>
        <v>0</v>
      </c>
      <c r="G45" s="2">
        <f t="shared" si="7"/>
        <v>1</v>
      </c>
      <c r="H45" s="2">
        <f t="shared" si="8"/>
        <v>0</v>
      </c>
      <c r="I45" s="2">
        <f t="shared" si="9"/>
        <v>1</v>
      </c>
      <c r="J45" s="2">
        <f t="shared" si="10"/>
        <v>0</v>
      </c>
      <c r="K45" s="2">
        <f t="shared" si="11"/>
        <v>0</v>
      </c>
      <c r="L45" s="2" t="s">
        <v>454</v>
      </c>
      <c r="M45" s="2" t="s">
        <v>452</v>
      </c>
      <c r="N45" s="2" t="s">
        <v>450</v>
      </c>
    </row>
    <row r="46" spans="1:14" x14ac:dyDescent="0.15">
      <c r="A46" s="2">
        <v>47</v>
      </c>
      <c r="B46" s="2">
        <v>6200</v>
      </c>
      <c r="C46" s="2">
        <v>1000</v>
      </c>
      <c r="D46" s="2">
        <v>2200</v>
      </c>
      <c r="E46" s="2">
        <v>21</v>
      </c>
      <c r="F46" s="2">
        <f t="shared" si="6"/>
        <v>1</v>
      </c>
      <c r="G46" s="2">
        <f t="shared" si="7"/>
        <v>0</v>
      </c>
      <c r="H46" s="2">
        <f t="shared" si="8"/>
        <v>0</v>
      </c>
      <c r="I46" s="2">
        <f t="shared" si="9"/>
        <v>1</v>
      </c>
      <c r="J46" s="2">
        <f t="shared" si="10"/>
        <v>0</v>
      </c>
      <c r="K46" s="2">
        <f t="shared" si="11"/>
        <v>0</v>
      </c>
      <c r="L46" s="2" t="s">
        <v>427</v>
      </c>
      <c r="M46" s="2" t="s">
        <v>448</v>
      </c>
      <c r="N46" s="2" t="s">
        <v>450</v>
      </c>
    </row>
    <row r="47" spans="1:14" x14ac:dyDescent="0.15">
      <c r="A47" s="2">
        <v>48</v>
      </c>
      <c r="B47" s="2">
        <v>5800</v>
      </c>
      <c r="C47" s="2">
        <v>2000</v>
      </c>
      <c r="D47" s="2">
        <v>5600</v>
      </c>
      <c r="E47" s="2">
        <v>20</v>
      </c>
      <c r="F47" s="2">
        <f t="shared" si="6"/>
        <v>0</v>
      </c>
      <c r="G47" s="2">
        <f t="shared" si="7"/>
        <v>1</v>
      </c>
      <c r="H47" s="2">
        <f t="shared" si="8"/>
        <v>0</v>
      </c>
      <c r="I47" s="2">
        <f t="shared" si="9"/>
        <v>1</v>
      </c>
      <c r="J47" s="2">
        <f t="shared" si="10"/>
        <v>0</v>
      </c>
      <c r="K47" s="2">
        <f t="shared" si="11"/>
        <v>0</v>
      </c>
      <c r="L47" s="2" t="s">
        <v>454</v>
      </c>
      <c r="M47" s="2" t="s">
        <v>452</v>
      </c>
      <c r="N47" s="2" t="s">
        <v>450</v>
      </c>
    </row>
    <row r="48" spans="1:14" x14ac:dyDescent="0.15">
      <c r="A48" s="2">
        <v>49</v>
      </c>
      <c r="B48" s="2">
        <v>3500</v>
      </c>
      <c r="C48" s="2">
        <v>2000</v>
      </c>
      <c r="D48" s="2">
        <v>7000</v>
      </c>
      <c r="E48" s="2">
        <v>19</v>
      </c>
      <c r="F48" s="2">
        <f t="shared" si="6"/>
        <v>0</v>
      </c>
      <c r="G48" s="2">
        <f t="shared" si="7"/>
        <v>1</v>
      </c>
      <c r="H48" s="2">
        <f t="shared" si="8"/>
        <v>0</v>
      </c>
      <c r="I48" s="2">
        <f t="shared" si="9"/>
        <v>1</v>
      </c>
      <c r="J48" s="2">
        <f t="shared" si="10"/>
        <v>0</v>
      </c>
      <c r="K48" s="2">
        <f t="shared" si="11"/>
        <v>0</v>
      </c>
      <c r="L48" s="2" t="s">
        <v>454</v>
      </c>
      <c r="M48" s="2" t="s">
        <v>452</v>
      </c>
      <c r="N48" s="2" t="s">
        <v>450</v>
      </c>
    </row>
    <row r="49" spans="1:14" x14ac:dyDescent="0.15">
      <c r="A49" s="2">
        <v>50</v>
      </c>
      <c r="B49" s="2">
        <v>4500</v>
      </c>
      <c r="C49" s="2">
        <v>1000</v>
      </c>
      <c r="D49" s="2">
        <v>2200</v>
      </c>
      <c r="E49" s="2">
        <v>18</v>
      </c>
      <c r="F49" s="2">
        <f t="shared" si="6"/>
        <v>0</v>
      </c>
      <c r="G49" s="2">
        <f t="shared" si="7"/>
        <v>1</v>
      </c>
      <c r="H49" s="2">
        <f t="shared" si="8"/>
        <v>0</v>
      </c>
      <c r="I49" s="2">
        <f t="shared" si="9"/>
        <v>1</v>
      </c>
      <c r="J49" s="2">
        <f t="shared" si="10"/>
        <v>0</v>
      </c>
      <c r="K49" s="2">
        <f t="shared" si="11"/>
        <v>0</v>
      </c>
      <c r="L49" s="2" t="s">
        <v>454</v>
      </c>
      <c r="M49" s="2" t="s">
        <v>452</v>
      </c>
      <c r="N49" s="2" t="s">
        <v>450</v>
      </c>
    </row>
    <row r="50" spans="1:14" x14ac:dyDescent="0.15">
      <c r="A50" s="2">
        <v>51</v>
      </c>
      <c r="B50" s="2">
        <v>5500</v>
      </c>
      <c r="C50" s="2">
        <v>1500</v>
      </c>
      <c r="D50" s="2">
        <v>1200</v>
      </c>
      <c r="E50" s="2">
        <v>6</v>
      </c>
      <c r="F50" s="2">
        <f t="shared" si="6"/>
        <v>1</v>
      </c>
      <c r="G50" s="2">
        <f t="shared" si="7"/>
        <v>1</v>
      </c>
      <c r="H50" s="2">
        <f t="shared" si="8"/>
        <v>0</v>
      </c>
      <c r="I50" s="2">
        <f t="shared" si="9"/>
        <v>1</v>
      </c>
      <c r="J50" s="2">
        <f t="shared" si="10"/>
        <v>0</v>
      </c>
      <c r="K50" s="2">
        <f t="shared" si="11"/>
        <v>0</v>
      </c>
      <c r="L50" s="2" t="s">
        <v>427</v>
      </c>
      <c r="M50" s="2" t="s">
        <v>452</v>
      </c>
      <c r="N50" s="2" t="s">
        <v>450</v>
      </c>
    </row>
    <row r="51" spans="1:14" x14ac:dyDescent="0.15">
      <c r="A51" s="2">
        <v>52</v>
      </c>
      <c r="B51" s="2">
        <v>7999</v>
      </c>
      <c r="C51" s="2">
        <v>2000</v>
      </c>
      <c r="D51" s="2">
        <v>6499</v>
      </c>
      <c r="E51" s="2">
        <v>18</v>
      </c>
      <c r="F51" s="2">
        <f t="shared" si="6"/>
        <v>0</v>
      </c>
      <c r="G51" s="2">
        <f t="shared" si="7"/>
        <v>0</v>
      </c>
      <c r="H51" s="2">
        <f t="shared" si="8"/>
        <v>0</v>
      </c>
      <c r="I51" s="2">
        <f t="shared" si="9"/>
        <v>0</v>
      </c>
      <c r="J51" s="2">
        <f t="shared" si="10"/>
        <v>1</v>
      </c>
      <c r="K51" s="2">
        <f t="shared" si="11"/>
        <v>0</v>
      </c>
      <c r="L51" s="2" t="s">
        <v>454</v>
      </c>
      <c r="M51" s="2" t="s">
        <v>448</v>
      </c>
      <c r="N51" s="2" t="s">
        <v>451</v>
      </c>
    </row>
    <row r="52" spans="1:14" x14ac:dyDescent="0.15">
      <c r="A52" s="2">
        <v>53</v>
      </c>
      <c r="B52" s="2">
        <v>9300</v>
      </c>
      <c r="C52" s="2">
        <v>2000</v>
      </c>
      <c r="D52" s="2">
        <v>8700</v>
      </c>
      <c r="E52" s="2">
        <v>26</v>
      </c>
      <c r="F52" s="2">
        <f t="shared" si="6"/>
        <v>0</v>
      </c>
      <c r="G52" s="2">
        <f t="shared" si="7"/>
        <v>0</v>
      </c>
      <c r="H52" s="2">
        <f t="shared" si="8"/>
        <v>0</v>
      </c>
      <c r="I52" s="2">
        <f t="shared" si="9"/>
        <v>0</v>
      </c>
      <c r="J52" s="2">
        <f t="shared" si="10"/>
        <v>1</v>
      </c>
      <c r="K52" s="2">
        <f t="shared" si="11"/>
        <v>0</v>
      </c>
      <c r="L52" s="2" t="s">
        <v>454</v>
      </c>
      <c r="M52" s="2" t="s">
        <v>448</v>
      </c>
      <c r="N52" s="2" t="s">
        <v>451</v>
      </c>
    </row>
    <row r="53" spans="1:14" x14ac:dyDescent="0.15">
      <c r="A53" s="2">
        <v>54</v>
      </c>
      <c r="B53" s="2">
        <v>4099</v>
      </c>
      <c r="C53" s="2">
        <v>4000</v>
      </c>
      <c r="D53" s="2">
        <v>3599</v>
      </c>
      <c r="E53" s="2">
        <v>36</v>
      </c>
      <c r="F53" s="2">
        <f t="shared" si="6"/>
        <v>0</v>
      </c>
      <c r="G53" s="2">
        <f t="shared" si="7"/>
        <v>1</v>
      </c>
      <c r="H53" s="2">
        <f t="shared" si="8"/>
        <v>0</v>
      </c>
      <c r="I53" s="2">
        <f t="shared" si="9"/>
        <v>1</v>
      </c>
      <c r="J53" s="2">
        <f t="shared" si="10"/>
        <v>0</v>
      </c>
      <c r="K53" s="2">
        <f t="shared" si="11"/>
        <v>0</v>
      </c>
      <c r="L53" s="2" t="s">
        <v>454</v>
      </c>
      <c r="M53" s="2" t="s">
        <v>452</v>
      </c>
      <c r="N53" s="2" t="s">
        <v>450</v>
      </c>
    </row>
    <row r="54" spans="1:14" x14ac:dyDescent="0.15">
      <c r="A54" s="2">
        <v>56</v>
      </c>
      <c r="B54" s="2">
        <v>6000</v>
      </c>
      <c r="C54" s="2">
        <v>2200</v>
      </c>
      <c r="D54" s="2">
        <v>6000</v>
      </c>
      <c r="E54" s="2">
        <v>18</v>
      </c>
      <c r="F54" s="2">
        <f t="shared" si="6"/>
        <v>0</v>
      </c>
      <c r="G54" s="2">
        <f t="shared" si="7"/>
        <v>1</v>
      </c>
      <c r="H54" s="2">
        <f t="shared" si="8"/>
        <v>0</v>
      </c>
      <c r="I54" s="2">
        <f t="shared" si="9"/>
        <v>1</v>
      </c>
      <c r="J54" s="2">
        <f t="shared" si="10"/>
        <v>0</v>
      </c>
      <c r="K54" s="2">
        <f t="shared" si="11"/>
        <v>0</v>
      </c>
      <c r="L54" s="2" t="s">
        <v>454</v>
      </c>
      <c r="M54" s="2" t="s">
        <v>452</v>
      </c>
      <c r="N54" s="2" t="s">
        <v>450</v>
      </c>
    </row>
    <row r="55" spans="1:14" x14ac:dyDescent="0.15">
      <c r="A55" s="2">
        <v>57</v>
      </c>
      <c r="B55" s="2">
        <v>2900</v>
      </c>
      <c r="C55" s="2">
        <v>2000</v>
      </c>
      <c r="D55" s="2">
        <v>1200</v>
      </c>
      <c r="E55" s="2">
        <v>10</v>
      </c>
      <c r="F55" s="2">
        <f t="shared" si="6"/>
        <v>0</v>
      </c>
      <c r="G55" s="2">
        <f t="shared" si="7"/>
        <v>1</v>
      </c>
      <c r="H55" s="2">
        <f t="shared" si="8"/>
        <v>0</v>
      </c>
      <c r="I55" s="2">
        <f t="shared" si="9"/>
        <v>1</v>
      </c>
      <c r="J55" s="2">
        <f t="shared" si="10"/>
        <v>0</v>
      </c>
      <c r="K55" s="2">
        <f t="shared" si="11"/>
        <v>0</v>
      </c>
      <c r="L55" s="2" t="s">
        <v>454</v>
      </c>
      <c r="M55" s="2" t="s">
        <v>452</v>
      </c>
      <c r="N55" s="2" t="s">
        <v>450</v>
      </c>
    </row>
    <row r="56" spans="1:14" x14ac:dyDescent="0.15">
      <c r="A56" s="2">
        <v>58</v>
      </c>
      <c r="B56" s="2">
        <v>4600</v>
      </c>
      <c r="C56" s="2">
        <v>1500</v>
      </c>
      <c r="D56" s="2">
        <v>2200</v>
      </c>
      <c r="E56" s="2">
        <v>6</v>
      </c>
      <c r="F56" s="2">
        <f t="shared" si="6"/>
        <v>0</v>
      </c>
      <c r="G56" s="2">
        <f t="shared" si="7"/>
        <v>1</v>
      </c>
      <c r="H56" s="2">
        <f t="shared" si="8"/>
        <v>0</v>
      </c>
      <c r="I56" s="2">
        <f t="shared" si="9"/>
        <v>1</v>
      </c>
      <c r="J56" s="2">
        <f t="shared" si="10"/>
        <v>0</v>
      </c>
      <c r="K56" s="2">
        <f t="shared" si="11"/>
        <v>0</v>
      </c>
      <c r="L56" s="2" t="s">
        <v>454</v>
      </c>
      <c r="M56" s="2" t="s">
        <v>452</v>
      </c>
      <c r="N56" s="2" t="s">
        <v>450</v>
      </c>
    </row>
    <row r="57" spans="1:14" x14ac:dyDescent="0.15">
      <c r="A57" s="2">
        <v>59</v>
      </c>
      <c r="B57" s="2">
        <v>3197</v>
      </c>
      <c r="C57" s="2">
        <v>1800</v>
      </c>
      <c r="D57" s="2">
        <v>2100</v>
      </c>
      <c r="E57" s="2">
        <v>19</v>
      </c>
      <c r="F57" s="2">
        <f t="shared" si="6"/>
        <v>0</v>
      </c>
      <c r="G57" s="2">
        <f t="shared" si="7"/>
        <v>1</v>
      </c>
      <c r="H57" s="2">
        <f t="shared" si="8"/>
        <v>0</v>
      </c>
      <c r="I57" s="2">
        <f t="shared" si="9"/>
        <v>0</v>
      </c>
      <c r="J57" s="2">
        <f t="shared" si="10"/>
        <v>0</v>
      </c>
      <c r="K57" s="2">
        <f t="shared" si="11"/>
        <v>1</v>
      </c>
      <c r="L57" s="2" t="s">
        <v>454</v>
      </c>
      <c r="M57" s="2" t="s">
        <v>452</v>
      </c>
      <c r="N57" s="2" t="s">
        <v>449</v>
      </c>
    </row>
    <row r="58" spans="1:14" x14ac:dyDescent="0.15">
      <c r="A58" s="2">
        <v>60</v>
      </c>
      <c r="B58" s="2">
        <v>4000</v>
      </c>
      <c r="C58" s="2">
        <v>2300</v>
      </c>
      <c r="D58" s="2">
        <v>7000</v>
      </c>
      <c r="E58" s="2">
        <v>20</v>
      </c>
      <c r="F58" s="2">
        <f t="shared" si="6"/>
        <v>0</v>
      </c>
      <c r="G58" s="2">
        <f t="shared" si="7"/>
        <v>1</v>
      </c>
      <c r="H58" s="2">
        <f t="shared" si="8"/>
        <v>0</v>
      </c>
      <c r="I58" s="2">
        <f t="shared" si="9"/>
        <v>1</v>
      </c>
      <c r="J58" s="2">
        <f t="shared" si="10"/>
        <v>0</v>
      </c>
      <c r="K58" s="2">
        <f t="shared" si="11"/>
        <v>0</v>
      </c>
      <c r="L58" s="2" t="s">
        <v>454</v>
      </c>
      <c r="M58" s="2" t="s">
        <v>452</v>
      </c>
      <c r="N58" s="2" t="s">
        <v>450</v>
      </c>
    </row>
    <row r="59" spans="1:14" x14ac:dyDescent="0.15">
      <c r="A59" s="2">
        <v>61</v>
      </c>
      <c r="B59" s="2">
        <v>3999</v>
      </c>
      <c r="C59" s="2">
        <v>2500</v>
      </c>
      <c r="D59" s="2">
        <v>7999</v>
      </c>
      <c r="E59" s="2">
        <v>36</v>
      </c>
      <c r="F59" s="2">
        <f t="shared" si="6"/>
        <v>0</v>
      </c>
      <c r="G59" s="2">
        <f t="shared" si="7"/>
        <v>1</v>
      </c>
      <c r="H59" s="2">
        <f t="shared" si="8"/>
        <v>0</v>
      </c>
      <c r="I59" s="2">
        <f t="shared" si="9"/>
        <v>1</v>
      </c>
      <c r="J59" s="2">
        <f t="shared" si="10"/>
        <v>0</v>
      </c>
      <c r="K59" s="2">
        <f t="shared" si="11"/>
        <v>0</v>
      </c>
      <c r="L59" s="2" t="s">
        <v>454</v>
      </c>
      <c r="M59" s="2" t="s">
        <v>452</v>
      </c>
      <c r="N59" s="2" t="s">
        <v>450</v>
      </c>
    </row>
    <row r="60" spans="1:14" x14ac:dyDescent="0.15">
      <c r="A60" s="2">
        <v>62</v>
      </c>
      <c r="B60" s="2">
        <v>6000</v>
      </c>
      <c r="C60" s="2">
        <v>1600</v>
      </c>
      <c r="D60" s="2">
        <v>3900</v>
      </c>
      <c r="E60" s="2">
        <v>13</v>
      </c>
      <c r="F60" s="2">
        <f t="shared" si="6"/>
        <v>0</v>
      </c>
      <c r="G60" s="2">
        <f t="shared" si="7"/>
        <v>1</v>
      </c>
      <c r="H60" s="2">
        <f t="shared" si="8"/>
        <v>0</v>
      </c>
      <c r="I60" s="2">
        <f t="shared" si="9"/>
        <v>0</v>
      </c>
      <c r="J60" s="2">
        <f t="shared" si="10"/>
        <v>1</v>
      </c>
      <c r="K60" s="2">
        <f t="shared" si="11"/>
        <v>0</v>
      </c>
      <c r="L60" s="2" t="s">
        <v>454</v>
      </c>
      <c r="M60" s="2" t="s">
        <v>452</v>
      </c>
      <c r="N60" s="2" t="s">
        <v>451</v>
      </c>
    </row>
    <row r="61" spans="1:14" x14ac:dyDescent="0.15">
      <c r="A61" s="2">
        <v>63</v>
      </c>
      <c r="B61" s="2">
        <v>8000</v>
      </c>
      <c r="C61" s="2">
        <v>2000</v>
      </c>
      <c r="D61" s="2">
        <v>7000</v>
      </c>
      <c r="E61" s="2">
        <v>24</v>
      </c>
      <c r="F61" s="2">
        <f t="shared" si="6"/>
        <v>0</v>
      </c>
      <c r="G61" s="2">
        <f t="shared" si="7"/>
        <v>1</v>
      </c>
      <c r="H61" s="2">
        <f t="shared" si="8"/>
        <v>0</v>
      </c>
      <c r="I61" s="2">
        <f t="shared" si="9"/>
        <v>0</v>
      </c>
      <c r="J61" s="2">
        <f t="shared" si="10"/>
        <v>0</v>
      </c>
      <c r="K61" s="2">
        <f t="shared" si="11"/>
        <v>1</v>
      </c>
      <c r="L61" s="2" t="s">
        <v>454</v>
      </c>
      <c r="M61" s="2" t="s">
        <v>452</v>
      </c>
      <c r="N61" s="2" t="s">
        <v>449</v>
      </c>
    </row>
    <row r="62" spans="1:14" x14ac:dyDescent="0.15">
      <c r="A62" s="2">
        <v>64</v>
      </c>
      <c r="B62" s="2">
        <v>10000</v>
      </c>
      <c r="C62" s="2">
        <v>1800</v>
      </c>
      <c r="D62" s="2">
        <v>2600</v>
      </c>
      <c r="E62" s="2">
        <v>24</v>
      </c>
      <c r="F62" s="2">
        <f t="shared" si="6"/>
        <v>0</v>
      </c>
      <c r="G62" s="2">
        <f t="shared" si="7"/>
        <v>0</v>
      </c>
      <c r="H62" s="2">
        <f t="shared" si="8"/>
        <v>0</v>
      </c>
      <c r="I62" s="2">
        <f t="shared" si="9"/>
        <v>1</v>
      </c>
      <c r="J62" s="2">
        <f t="shared" si="10"/>
        <v>0</v>
      </c>
      <c r="K62" s="2">
        <f t="shared" si="11"/>
        <v>0</v>
      </c>
      <c r="L62" s="2" t="s">
        <v>454</v>
      </c>
      <c r="M62" s="2" t="s">
        <v>448</v>
      </c>
      <c r="N62" s="2" t="s">
        <v>450</v>
      </c>
    </row>
    <row r="63" spans="1:14" x14ac:dyDescent="0.15">
      <c r="A63" s="2">
        <v>65</v>
      </c>
      <c r="B63" s="2">
        <v>5500</v>
      </c>
      <c r="C63" s="2">
        <v>1800</v>
      </c>
      <c r="D63" s="2">
        <v>4500</v>
      </c>
      <c r="E63" s="2">
        <v>14</v>
      </c>
      <c r="F63" s="2">
        <f t="shared" si="6"/>
        <v>0</v>
      </c>
      <c r="G63" s="2">
        <f t="shared" si="7"/>
        <v>1</v>
      </c>
      <c r="H63" s="2">
        <f t="shared" si="8"/>
        <v>0</v>
      </c>
      <c r="I63" s="2">
        <f t="shared" si="9"/>
        <v>1</v>
      </c>
      <c r="J63" s="2">
        <f t="shared" si="10"/>
        <v>0</v>
      </c>
      <c r="K63" s="2">
        <f t="shared" si="11"/>
        <v>0</v>
      </c>
      <c r="L63" s="2" t="s">
        <v>454</v>
      </c>
      <c r="M63" s="2" t="s">
        <v>452</v>
      </c>
      <c r="N63" s="2" t="s">
        <v>450</v>
      </c>
    </row>
    <row r="64" spans="1:14" x14ac:dyDescent="0.15">
      <c r="A64" s="2">
        <v>66</v>
      </c>
      <c r="B64" s="2">
        <v>1800</v>
      </c>
      <c r="C64" s="2">
        <v>1600</v>
      </c>
      <c r="D64" s="2">
        <v>1700</v>
      </c>
      <c r="E64" s="2">
        <v>16</v>
      </c>
      <c r="F64" s="2">
        <f t="shared" si="6"/>
        <v>0</v>
      </c>
      <c r="G64" s="2">
        <f t="shared" si="7"/>
        <v>1</v>
      </c>
      <c r="H64" s="2">
        <f t="shared" si="8"/>
        <v>0</v>
      </c>
      <c r="I64" s="2">
        <f t="shared" si="9"/>
        <v>1</v>
      </c>
      <c r="J64" s="2">
        <f t="shared" si="10"/>
        <v>0</v>
      </c>
      <c r="K64" s="2">
        <f t="shared" si="11"/>
        <v>0</v>
      </c>
      <c r="L64" s="2" t="s">
        <v>454</v>
      </c>
      <c r="M64" s="2" t="s">
        <v>452</v>
      </c>
      <c r="N64" s="2" t="s">
        <v>450</v>
      </c>
    </row>
    <row r="65" spans="1:14" x14ac:dyDescent="0.15">
      <c r="A65" s="2">
        <v>67</v>
      </c>
      <c r="B65" s="2">
        <v>8500</v>
      </c>
      <c r="C65" s="2">
        <v>2200</v>
      </c>
      <c r="D65" s="2">
        <v>2400</v>
      </c>
      <c r="E65" s="2">
        <v>16</v>
      </c>
      <c r="F65" s="2">
        <f t="shared" si="6"/>
        <v>1</v>
      </c>
      <c r="G65" s="2">
        <f t="shared" si="7"/>
        <v>0</v>
      </c>
      <c r="H65" s="2">
        <f t="shared" si="8"/>
        <v>0</v>
      </c>
      <c r="I65" s="2">
        <f t="shared" si="9"/>
        <v>1</v>
      </c>
      <c r="J65" s="2">
        <f t="shared" si="10"/>
        <v>0</v>
      </c>
      <c r="K65" s="2">
        <f t="shared" si="11"/>
        <v>0</v>
      </c>
      <c r="L65" s="2" t="s">
        <v>427</v>
      </c>
      <c r="M65" s="2" t="s">
        <v>448</v>
      </c>
      <c r="N65" s="2" t="s">
        <v>450</v>
      </c>
    </row>
    <row r="66" spans="1:14" x14ac:dyDescent="0.15">
      <c r="A66" s="2">
        <v>68</v>
      </c>
      <c r="B66" s="2">
        <v>9600</v>
      </c>
      <c r="C66" s="2">
        <v>2500</v>
      </c>
      <c r="D66" s="2">
        <v>5299</v>
      </c>
      <c r="E66" s="2">
        <v>21</v>
      </c>
      <c r="F66" s="2">
        <f t="shared" ref="F66:F97" si="12">IF(L66="male",1,0)</f>
        <v>0</v>
      </c>
      <c r="G66" s="2">
        <f t="shared" ref="G66:G97" si="13">IF(M66="lite",1,0)</f>
        <v>1</v>
      </c>
      <c r="H66" s="2">
        <f t="shared" ref="H66:H97" si="14">IF(N66="premium",1,0)</f>
        <v>1</v>
      </c>
      <c r="I66" s="2">
        <f t="shared" ref="I66:I97" si="15">IF(N66="mainstream",1,0)</f>
        <v>0</v>
      </c>
      <c r="J66" s="2">
        <f t="shared" ref="J66:J97" si="16">IF(N66="gaming",1,0)</f>
        <v>0</v>
      </c>
      <c r="K66" s="2">
        <f t="shared" ref="K66:K97" si="17">IF(N66="value",1,0)</f>
        <v>0</v>
      </c>
      <c r="L66" s="2" t="s">
        <v>454</v>
      </c>
      <c r="M66" s="2" t="s">
        <v>452</v>
      </c>
      <c r="N66" s="2" t="s">
        <v>453</v>
      </c>
    </row>
    <row r="67" spans="1:14" x14ac:dyDescent="0.15">
      <c r="A67" s="2">
        <v>69</v>
      </c>
      <c r="B67" s="2">
        <v>3000</v>
      </c>
      <c r="C67" s="2">
        <v>1500</v>
      </c>
      <c r="D67" s="2">
        <v>2300</v>
      </c>
      <c r="E67" s="2">
        <v>18</v>
      </c>
      <c r="F67" s="2">
        <f t="shared" si="12"/>
        <v>0</v>
      </c>
      <c r="G67" s="2">
        <f t="shared" si="13"/>
        <v>1</v>
      </c>
      <c r="H67" s="2">
        <f t="shared" si="14"/>
        <v>0</v>
      </c>
      <c r="I67" s="2">
        <f t="shared" si="15"/>
        <v>1</v>
      </c>
      <c r="J67" s="2">
        <f t="shared" si="16"/>
        <v>0</v>
      </c>
      <c r="K67" s="2">
        <f t="shared" si="17"/>
        <v>0</v>
      </c>
      <c r="L67" s="2" t="s">
        <v>454</v>
      </c>
      <c r="M67" s="2" t="s">
        <v>452</v>
      </c>
      <c r="N67" s="2" t="s">
        <v>450</v>
      </c>
    </row>
    <row r="68" spans="1:14" x14ac:dyDescent="0.15">
      <c r="A68" s="2">
        <v>70</v>
      </c>
      <c r="B68" s="2">
        <v>4400</v>
      </c>
      <c r="C68" s="2">
        <v>1000</v>
      </c>
      <c r="D68" s="2">
        <v>3499</v>
      </c>
      <c r="E68" s="2">
        <v>18</v>
      </c>
      <c r="F68" s="2">
        <f t="shared" si="12"/>
        <v>0</v>
      </c>
      <c r="G68" s="2">
        <f t="shared" si="13"/>
        <v>1</v>
      </c>
      <c r="H68" s="2">
        <f t="shared" si="14"/>
        <v>0</v>
      </c>
      <c r="I68" s="2">
        <f t="shared" si="15"/>
        <v>1</v>
      </c>
      <c r="J68" s="2">
        <f t="shared" si="16"/>
        <v>0</v>
      </c>
      <c r="K68" s="2">
        <f t="shared" si="17"/>
        <v>0</v>
      </c>
      <c r="L68" s="2" t="s">
        <v>454</v>
      </c>
      <c r="M68" s="2" t="s">
        <v>452</v>
      </c>
      <c r="N68" s="2" t="s">
        <v>450</v>
      </c>
    </row>
    <row r="69" spans="1:14" x14ac:dyDescent="0.15">
      <c r="A69" s="2">
        <v>71</v>
      </c>
      <c r="B69" s="2">
        <v>8999</v>
      </c>
      <c r="C69" s="2">
        <v>800</v>
      </c>
      <c r="D69" s="2">
        <v>5499</v>
      </c>
      <c r="E69" s="2">
        <v>14</v>
      </c>
      <c r="F69" s="2">
        <f t="shared" si="12"/>
        <v>0</v>
      </c>
      <c r="G69" s="2">
        <f t="shared" si="13"/>
        <v>1</v>
      </c>
      <c r="H69" s="2">
        <f t="shared" si="14"/>
        <v>0</v>
      </c>
      <c r="I69" s="2">
        <f t="shared" si="15"/>
        <v>1</v>
      </c>
      <c r="J69" s="2">
        <f t="shared" si="16"/>
        <v>0</v>
      </c>
      <c r="K69" s="2">
        <f t="shared" si="17"/>
        <v>0</v>
      </c>
      <c r="L69" s="2" t="s">
        <v>454</v>
      </c>
      <c r="M69" s="2" t="s">
        <v>452</v>
      </c>
      <c r="N69" s="2" t="s">
        <v>450</v>
      </c>
    </row>
    <row r="70" spans="1:14" x14ac:dyDescent="0.15">
      <c r="A70" s="2">
        <v>72</v>
      </c>
      <c r="B70" s="2">
        <v>6000</v>
      </c>
      <c r="C70" s="2">
        <v>1500</v>
      </c>
      <c r="D70" s="2">
        <v>6000</v>
      </c>
      <c r="E70" s="2">
        <v>12</v>
      </c>
      <c r="F70" s="2">
        <f t="shared" si="12"/>
        <v>0</v>
      </c>
      <c r="G70" s="2">
        <f t="shared" si="13"/>
        <v>1</v>
      </c>
      <c r="H70" s="2">
        <f t="shared" si="14"/>
        <v>0</v>
      </c>
      <c r="I70" s="2">
        <f t="shared" si="15"/>
        <v>0</v>
      </c>
      <c r="J70" s="2">
        <f t="shared" si="16"/>
        <v>0</v>
      </c>
      <c r="K70" s="2">
        <f t="shared" si="17"/>
        <v>1</v>
      </c>
      <c r="L70" s="2" t="s">
        <v>454</v>
      </c>
      <c r="M70" s="2" t="s">
        <v>452</v>
      </c>
      <c r="N70" s="2" t="s">
        <v>449</v>
      </c>
    </row>
    <row r="71" spans="1:14" x14ac:dyDescent="0.15">
      <c r="A71" s="2">
        <v>74</v>
      </c>
      <c r="B71" s="2">
        <v>6500</v>
      </c>
      <c r="C71" s="2">
        <v>1500</v>
      </c>
      <c r="D71" s="2">
        <v>1600</v>
      </c>
      <c r="E71" s="2">
        <v>15</v>
      </c>
      <c r="F71" s="2">
        <f t="shared" si="12"/>
        <v>1</v>
      </c>
      <c r="G71" s="2">
        <f t="shared" si="13"/>
        <v>0</v>
      </c>
      <c r="H71" s="2">
        <f t="shared" si="14"/>
        <v>0</v>
      </c>
      <c r="I71" s="2">
        <f t="shared" si="15"/>
        <v>0</v>
      </c>
      <c r="J71" s="2">
        <f t="shared" si="16"/>
        <v>1</v>
      </c>
      <c r="K71" s="2">
        <f t="shared" si="17"/>
        <v>0</v>
      </c>
      <c r="L71" s="2" t="s">
        <v>427</v>
      </c>
      <c r="M71" s="2" t="s">
        <v>448</v>
      </c>
      <c r="N71" s="2" t="s">
        <v>451</v>
      </c>
    </row>
    <row r="72" spans="1:14" x14ac:dyDescent="0.15">
      <c r="A72" s="2">
        <v>75</v>
      </c>
      <c r="B72" s="2">
        <v>5000</v>
      </c>
      <c r="C72" s="2">
        <v>2000</v>
      </c>
      <c r="D72" s="2">
        <v>5500</v>
      </c>
      <c r="E72" s="2">
        <v>18</v>
      </c>
      <c r="F72" s="2">
        <f t="shared" si="12"/>
        <v>0</v>
      </c>
      <c r="G72" s="2">
        <f t="shared" si="13"/>
        <v>1</v>
      </c>
      <c r="H72" s="2">
        <f t="shared" si="14"/>
        <v>0</v>
      </c>
      <c r="I72" s="2">
        <f t="shared" si="15"/>
        <v>1</v>
      </c>
      <c r="J72" s="2">
        <f t="shared" si="16"/>
        <v>0</v>
      </c>
      <c r="K72" s="2">
        <f t="shared" si="17"/>
        <v>0</v>
      </c>
      <c r="L72" s="2" t="s">
        <v>454</v>
      </c>
      <c r="M72" s="2" t="s">
        <v>452</v>
      </c>
      <c r="N72" s="2" t="s">
        <v>450</v>
      </c>
    </row>
    <row r="73" spans="1:14" x14ac:dyDescent="0.15">
      <c r="A73" s="2">
        <v>77</v>
      </c>
      <c r="B73" s="2">
        <v>5400</v>
      </c>
      <c r="C73" s="2">
        <v>2700</v>
      </c>
      <c r="D73" s="2">
        <v>5800</v>
      </c>
      <c r="E73" s="2">
        <v>30</v>
      </c>
      <c r="F73" s="2">
        <f t="shared" si="12"/>
        <v>0</v>
      </c>
      <c r="G73" s="2">
        <f t="shared" si="13"/>
        <v>1</v>
      </c>
      <c r="H73" s="2">
        <f t="shared" si="14"/>
        <v>1</v>
      </c>
      <c r="I73" s="2">
        <f t="shared" si="15"/>
        <v>0</v>
      </c>
      <c r="J73" s="2">
        <f t="shared" si="16"/>
        <v>0</v>
      </c>
      <c r="K73" s="2">
        <f t="shared" si="17"/>
        <v>0</v>
      </c>
      <c r="L73" s="2" t="s">
        <v>454</v>
      </c>
      <c r="M73" s="2" t="s">
        <v>452</v>
      </c>
      <c r="N73" s="2" t="s">
        <v>453</v>
      </c>
    </row>
    <row r="74" spans="1:14" x14ac:dyDescent="0.15">
      <c r="A74" s="2">
        <v>78</v>
      </c>
      <c r="B74" s="2">
        <v>5000</v>
      </c>
      <c r="C74" s="2">
        <v>1500</v>
      </c>
      <c r="D74" s="2">
        <v>5000</v>
      </c>
      <c r="E74" s="2">
        <v>12</v>
      </c>
      <c r="F74" s="2">
        <f t="shared" si="12"/>
        <v>0</v>
      </c>
      <c r="G74" s="2">
        <f t="shared" si="13"/>
        <v>1</v>
      </c>
      <c r="H74" s="2">
        <f t="shared" si="14"/>
        <v>0</v>
      </c>
      <c r="I74" s="2">
        <f t="shared" si="15"/>
        <v>1</v>
      </c>
      <c r="J74" s="2">
        <f t="shared" si="16"/>
        <v>0</v>
      </c>
      <c r="K74" s="2">
        <f t="shared" si="17"/>
        <v>0</v>
      </c>
      <c r="L74" s="2" t="s">
        <v>454</v>
      </c>
      <c r="M74" s="2" t="s">
        <v>452</v>
      </c>
      <c r="N74" s="2" t="s">
        <v>450</v>
      </c>
    </row>
    <row r="75" spans="1:14" x14ac:dyDescent="0.15">
      <c r="A75" s="2">
        <v>79</v>
      </c>
      <c r="B75" s="2">
        <v>7688</v>
      </c>
      <c r="C75" s="2">
        <v>2500</v>
      </c>
      <c r="D75" s="2">
        <v>6999</v>
      </c>
      <c r="E75" s="2">
        <v>12</v>
      </c>
      <c r="F75" s="2">
        <f t="shared" si="12"/>
        <v>0</v>
      </c>
      <c r="G75" s="2">
        <f t="shared" si="13"/>
        <v>0</v>
      </c>
      <c r="H75" s="2">
        <f t="shared" si="14"/>
        <v>0</v>
      </c>
      <c r="I75" s="2">
        <f t="shared" si="15"/>
        <v>1</v>
      </c>
      <c r="J75" s="2">
        <f t="shared" si="16"/>
        <v>0</v>
      </c>
      <c r="K75" s="2">
        <f t="shared" si="17"/>
        <v>0</v>
      </c>
      <c r="L75" s="2" t="s">
        <v>454</v>
      </c>
      <c r="M75" s="2" t="s">
        <v>448</v>
      </c>
      <c r="N75" s="2" t="s">
        <v>450</v>
      </c>
    </row>
    <row r="76" spans="1:14" x14ac:dyDescent="0.15">
      <c r="A76" s="2">
        <v>80</v>
      </c>
      <c r="B76" s="2">
        <v>3800</v>
      </c>
      <c r="C76" s="2">
        <v>1500</v>
      </c>
      <c r="D76" s="2">
        <v>2500</v>
      </c>
      <c r="E76" s="2">
        <v>12</v>
      </c>
      <c r="F76" s="2">
        <f t="shared" si="12"/>
        <v>0</v>
      </c>
      <c r="G76" s="2">
        <f t="shared" si="13"/>
        <v>1</v>
      </c>
      <c r="H76" s="2">
        <f t="shared" si="14"/>
        <v>0</v>
      </c>
      <c r="I76" s="2">
        <f t="shared" si="15"/>
        <v>1</v>
      </c>
      <c r="J76" s="2">
        <f t="shared" si="16"/>
        <v>0</v>
      </c>
      <c r="K76" s="2">
        <f t="shared" si="17"/>
        <v>0</v>
      </c>
      <c r="L76" s="2" t="s">
        <v>454</v>
      </c>
      <c r="M76" s="2" t="s">
        <v>452</v>
      </c>
      <c r="N76" s="2" t="s">
        <v>450</v>
      </c>
    </row>
    <row r="77" spans="1:14" x14ac:dyDescent="0.15">
      <c r="A77" s="2">
        <v>81</v>
      </c>
      <c r="B77" s="2">
        <v>2000</v>
      </c>
      <c r="C77" s="2">
        <v>1500</v>
      </c>
      <c r="D77" s="2">
        <v>2000</v>
      </c>
      <c r="E77" s="2">
        <v>24</v>
      </c>
      <c r="F77" s="2">
        <f t="shared" si="12"/>
        <v>0</v>
      </c>
      <c r="G77" s="2">
        <f t="shared" si="13"/>
        <v>1</v>
      </c>
      <c r="H77" s="2">
        <f t="shared" si="14"/>
        <v>0</v>
      </c>
      <c r="I77" s="2">
        <f t="shared" si="15"/>
        <v>0</v>
      </c>
      <c r="J77" s="2">
        <f t="shared" si="16"/>
        <v>0</v>
      </c>
      <c r="K77" s="2">
        <f t="shared" si="17"/>
        <v>1</v>
      </c>
      <c r="L77" s="2" t="s">
        <v>454</v>
      </c>
      <c r="M77" s="2" t="s">
        <v>452</v>
      </c>
      <c r="N77" s="2" t="s">
        <v>449</v>
      </c>
    </row>
    <row r="78" spans="1:14" x14ac:dyDescent="0.15">
      <c r="A78" s="2">
        <v>82</v>
      </c>
      <c r="B78" s="2">
        <v>4988</v>
      </c>
      <c r="C78" s="2">
        <v>2700</v>
      </c>
      <c r="D78" s="2">
        <v>6999</v>
      </c>
      <c r="E78" s="2">
        <v>18</v>
      </c>
      <c r="F78" s="2">
        <f t="shared" si="12"/>
        <v>0</v>
      </c>
      <c r="G78" s="2">
        <f t="shared" si="13"/>
        <v>1</v>
      </c>
      <c r="H78" s="2">
        <f t="shared" si="14"/>
        <v>0</v>
      </c>
      <c r="I78" s="2">
        <f t="shared" si="15"/>
        <v>1</v>
      </c>
      <c r="J78" s="2">
        <f t="shared" si="16"/>
        <v>0</v>
      </c>
      <c r="K78" s="2">
        <f t="shared" si="17"/>
        <v>0</v>
      </c>
      <c r="L78" s="2" t="s">
        <v>454</v>
      </c>
      <c r="M78" s="2" t="s">
        <v>452</v>
      </c>
      <c r="N78" s="2" t="s">
        <v>450</v>
      </c>
    </row>
    <row r="79" spans="1:14" x14ac:dyDescent="0.15">
      <c r="A79" s="2">
        <v>83</v>
      </c>
      <c r="B79" s="2">
        <v>4000</v>
      </c>
      <c r="C79" s="2">
        <v>2000</v>
      </c>
      <c r="D79" s="2">
        <v>3000</v>
      </c>
      <c r="E79" s="2">
        <v>18</v>
      </c>
      <c r="F79" s="2">
        <f t="shared" si="12"/>
        <v>0</v>
      </c>
      <c r="G79" s="2">
        <f t="shared" si="13"/>
        <v>1</v>
      </c>
      <c r="H79" s="2">
        <f t="shared" si="14"/>
        <v>0</v>
      </c>
      <c r="I79" s="2">
        <f t="shared" si="15"/>
        <v>0</v>
      </c>
      <c r="J79" s="2">
        <f t="shared" si="16"/>
        <v>0</v>
      </c>
      <c r="K79" s="2">
        <f t="shared" si="17"/>
        <v>1</v>
      </c>
      <c r="L79" s="2" t="s">
        <v>454</v>
      </c>
      <c r="M79" s="2" t="s">
        <v>452</v>
      </c>
      <c r="N79" s="2" t="s">
        <v>449</v>
      </c>
    </row>
    <row r="80" spans="1:14" x14ac:dyDescent="0.15">
      <c r="A80" s="2">
        <v>84</v>
      </c>
      <c r="B80" s="2">
        <v>5000</v>
      </c>
      <c r="C80" s="2">
        <v>2000</v>
      </c>
      <c r="D80" s="2">
        <v>8900</v>
      </c>
      <c r="E80" s="2">
        <v>18</v>
      </c>
      <c r="F80" s="2">
        <f t="shared" si="12"/>
        <v>0</v>
      </c>
      <c r="G80" s="2">
        <f t="shared" si="13"/>
        <v>1</v>
      </c>
      <c r="H80" s="2">
        <f t="shared" si="14"/>
        <v>0</v>
      </c>
      <c r="I80" s="2">
        <f t="shared" si="15"/>
        <v>1</v>
      </c>
      <c r="J80" s="2">
        <f t="shared" si="16"/>
        <v>0</v>
      </c>
      <c r="K80" s="2">
        <f t="shared" si="17"/>
        <v>0</v>
      </c>
      <c r="L80" s="2" t="s">
        <v>454</v>
      </c>
      <c r="M80" s="2" t="s">
        <v>452</v>
      </c>
      <c r="N80" s="2" t="s">
        <v>450</v>
      </c>
    </row>
    <row r="81" spans="1:14" x14ac:dyDescent="0.15">
      <c r="A81" s="2">
        <v>85</v>
      </c>
      <c r="B81" s="2">
        <v>8000</v>
      </c>
      <c r="C81" s="2">
        <v>2400</v>
      </c>
      <c r="D81" s="2">
        <v>4200</v>
      </c>
      <c r="E81" s="2">
        <v>36</v>
      </c>
      <c r="F81" s="2">
        <f t="shared" si="12"/>
        <v>0</v>
      </c>
      <c r="G81" s="2">
        <f t="shared" si="13"/>
        <v>0</v>
      </c>
      <c r="H81" s="2">
        <f t="shared" si="14"/>
        <v>0</v>
      </c>
      <c r="I81" s="2">
        <f t="shared" si="15"/>
        <v>0</v>
      </c>
      <c r="J81" s="2">
        <f t="shared" si="16"/>
        <v>1</v>
      </c>
      <c r="K81" s="2">
        <f t="shared" si="17"/>
        <v>0</v>
      </c>
      <c r="L81" s="2" t="s">
        <v>454</v>
      </c>
      <c r="M81" s="2" t="s">
        <v>448</v>
      </c>
      <c r="N81" s="2" t="s">
        <v>451</v>
      </c>
    </row>
    <row r="82" spans="1:14" x14ac:dyDescent="0.15">
      <c r="A82" s="2">
        <v>86</v>
      </c>
      <c r="B82" s="2">
        <v>3600</v>
      </c>
      <c r="C82" s="2">
        <v>2300</v>
      </c>
      <c r="D82" s="2">
        <v>1600</v>
      </c>
      <c r="E82" s="2">
        <v>48</v>
      </c>
      <c r="F82" s="2">
        <f t="shared" si="12"/>
        <v>0</v>
      </c>
      <c r="G82" s="2">
        <f t="shared" si="13"/>
        <v>0</v>
      </c>
      <c r="H82" s="2">
        <f t="shared" si="14"/>
        <v>0</v>
      </c>
      <c r="I82" s="2">
        <f t="shared" si="15"/>
        <v>0</v>
      </c>
      <c r="J82" s="2">
        <f t="shared" si="16"/>
        <v>0</v>
      </c>
      <c r="K82" s="2">
        <f t="shared" si="17"/>
        <v>1</v>
      </c>
      <c r="L82" s="2" t="s">
        <v>454</v>
      </c>
      <c r="M82" s="2" t="s">
        <v>448</v>
      </c>
      <c r="N82" s="2" t="s">
        <v>449</v>
      </c>
    </row>
    <row r="83" spans="1:14" x14ac:dyDescent="0.15">
      <c r="A83" s="2">
        <v>87</v>
      </c>
      <c r="B83" s="2">
        <v>2300</v>
      </c>
      <c r="C83" s="2">
        <v>1300</v>
      </c>
      <c r="D83" s="2">
        <v>3300</v>
      </c>
      <c r="E83" s="2">
        <v>6</v>
      </c>
      <c r="F83" s="2">
        <f t="shared" si="12"/>
        <v>0</v>
      </c>
      <c r="G83" s="2">
        <f t="shared" si="13"/>
        <v>0</v>
      </c>
      <c r="H83" s="2">
        <f t="shared" si="14"/>
        <v>0</v>
      </c>
      <c r="I83" s="2">
        <f t="shared" si="15"/>
        <v>1</v>
      </c>
      <c r="J83" s="2">
        <f t="shared" si="16"/>
        <v>0</v>
      </c>
      <c r="K83" s="2">
        <f t="shared" si="17"/>
        <v>0</v>
      </c>
      <c r="L83" s="2" t="s">
        <v>454</v>
      </c>
      <c r="M83" s="2" t="s">
        <v>448</v>
      </c>
      <c r="N83" s="2" t="s">
        <v>450</v>
      </c>
    </row>
    <row r="84" spans="1:14" x14ac:dyDescent="0.15">
      <c r="A84" s="2">
        <v>88</v>
      </c>
      <c r="B84" s="2">
        <v>3800</v>
      </c>
      <c r="C84" s="2">
        <v>2300</v>
      </c>
      <c r="D84" s="2">
        <v>5100</v>
      </c>
      <c r="E84" s="2">
        <v>17</v>
      </c>
      <c r="F84" s="2">
        <f t="shared" si="12"/>
        <v>0</v>
      </c>
      <c r="G84" s="2">
        <f t="shared" si="13"/>
        <v>1</v>
      </c>
      <c r="H84" s="2">
        <f t="shared" si="14"/>
        <v>0</v>
      </c>
      <c r="I84" s="2">
        <f t="shared" si="15"/>
        <v>1</v>
      </c>
      <c r="J84" s="2">
        <f t="shared" si="16"/>
        <v>0</v>
      </c>
      <c r="K84" s="2">
        <f t="shared" si="17"/>
        <v>0</v>
      </c>
      <c r="L84" s="2" t="s">
        <v>454</v>
      </c>
      <c r="M84" s="2" t="s">
        <v>452</v>
      </c>
      <c r="N84" s="2" t="s">
        <v>450</v>
      </c>
    </row>
    <row r="85" spans="1:14" x14ac:dyDescent="0.15">
      <c r="A85" s="2">
        <v>89</v>
      </c>
      <c r="B85" s="2">
        <v>4400</v>
      </c>
      <c r="C85" s="2">
        <v>2000</v>
      </c>
      <c r="D85" s="2">
        <v>2500</v>
      </c>
      <c r="E85" s="2">
        <v>15</v>
      </c>
      <c r="F85" s="2">
        <f t="shared" si="12"/>
        <v>0</v>
      </c>
      <c r="G85" s="2">
        <f t="shared" si="13"/>
        <v>1</v>
      </c>
      <c r="H85" s="2">
        <f t="shared" si="14"/>
        <v>0</v>
      </c>
      <c r="I85" s="2">
        <f t="shared" si="15"/>
        <v>1</v>
      </c>
      <c r="J85" s="2">
        <f t="shared" si="16"/>
        <v>0</v>
      </c>
      <c r="K85" s="2">
        <f t="shared" si="17"/>
        <v>0</v>
      </c>
      <c r="L85" s="2" t="s">
        <v>454</v>
      </c>
      <c r="M85" s="2" t="s">
        <v>452</v>
      </c>
      <c r="N85" s="2" t="s">
        <v>450</v>
      </c>
    </row>
    <row r="86" spans="1:14" x14ac:dyDescent="0.15">
      <c r="A86" s="2">
        <v>90</v>
      </c>
      <c r="B86" s="2">
        <v>2900</v>
      </c>
      <c r="C86" s="2">
        <v>2500</v>
      </c>
      <c r="D86" s="2">
        <v>1400</v>
      </c>
      <c r="E86" s="2">
        <v>24</v>
      </c>
      <c r="F86" s="2">
        <f t="shared" si="12"/>
        <v>0</v>
      </c>
      <c r="G86" s="2">
        <f t="shared" si="13"/>
        <v>1</v>
      </c>
      <c r="H86" s="2">
        <f t="shared" si="14"/>
        <v>0</v>
      </c>
      <c r="I86" s="2">
        <f t="shared" si="15"/>
        <v>1</v>
      </c>
      <c r="J86" s="2">
        <f t="shared" si="16"/>
        <v>0</v>
      </c>
      <c r="K86" s="2">
        <f t="shared" si="17"/>
        <v>0</v>
      </c>
      <c r="L86" s="2" t="s">
        <v>454</v>
      </c>
      <c r="M86" s="2" t="s">
        <v>452</v>
      </c>
      <c r="N86" s="2" t="s">
        <v>450</v>
      </c>
    </row>
    <row r="87" spans="1:14" x14ac:dyDescent="0.15">
      <c r="A87" s="2">
        <v>91</v>
      </c>
      <c r="B87" s="2">
        <v>5000</v>
      </c>
      <c r="C87" s="2">
        <v>2100</v>
      </c>
      <c r="D87" s="2">
        <v>3000</v>
      </c>
      <c r="E87" s="2">
        <v>19</v>
      </c>
      <c r="F87" s="2">
        <f t="shared" si="12"/>
        <v>0</v>
      </c>
      <c r="G87" s="2">
        <f t="shared" si="13"/>
        <v>1</v>
      </c>
      <c r="H87" s="2">
        <f t="shared" si="14"/>
        <v>0</v>
      </c>
      <c r="I87" s="2">
        <f t="shared" si="15"/>
        <v>1</v>
      </c>
      <c r="J87" s="2">
        <f t="shared" si="16"/>
        <v>0</v>
      </c>
      <c r="K87" s="2">
        <f t="shared" si="17"/>
        <v>0</v>
      </c>
      <c r="L87" s="2" t="s">
        <v>454</v>
      </c>
      <c r="M87" s="2" t="s">
        <v>452</v>
      </c>
      <c r="N87" s="2" t="s">
        <v>450</v>
      </c>
    </row>
    <row r="88" spans="1:14" x14ac:dyDescent="0.15">
      <c r="A88" s="2">
        <v>92</v>
      </c>
      <c r="B88" s="2">
        <v>3000</v>
      </c>
      <c r="C88" s="2">
        <v>1800</v>
      </c>
      <c r="D88" s="2">
        <v>6100</v>
      </c>
      <c r="E88" s="2">
        <v>48</v>
      </c>
      <c r="F88" s="2">
        <f t="shared" si="12"/>
        <v>0</v>
      </c>
      <c r="G88" s="2">
        <f t="shared" si="13"/>
        <v>1</v>
      </c>
      <c r="H88" s="2">
        <f t="shared" si="14"/>
        <v>0</v>
      </c>
      <c r="I88" s="2">
        <f t="shared" si="15"/>
        <v>1</v>
      </c>
      <c r="J88" s="2">
        <f t="shared" si="16"/>
        <v>0</v>
      </c>
      <c r="K88" s="2">
        <f t="shared" si="17"/>
        <v>0</v>
      </c>
      <c r="L88" s="2" t="s">
        <v>454</v>
      </c>
      <c r="M88" s="2" t="s">
        <v>452</v>
      </c>
      <c r="N88" s="2" t="s">
        <v>450</v>
      </c>
    </row>
    <row r="89" spans="1:14" x14ac:dyDescent="0.15">
      <c r="A89" s="2">
        <v>93</v>
      </c>
      <c r="B89" s="2">
        <v>2300</v>
      </c>
      <c r="C89" s="2">
        <v>1500</v>
      </c>
      <c r="D89" s="2">
        <v>1500</v>
      </c>
      <c r="E89" s="2">
        <v>20</v>
      </c>
      <c r="F89" s="2">
        <f t="shared" si="12"/>
        <v>0</v>
      </c>
      <c r="G89" s="2">
        <f t="shared" si="13"/>
        <v>1</v>
      </c>
      <c r="H89" s="2">
        <f t="shared" si="14"/>
        <v>0</v>
      </c>
      <c r="I89" s="2">
        <f t="shared" si="15"/>
        <v>0</v>
      </c>
      <c r="J89" s="2">
        <f t="shared" si="16"/>
        <v>0</v>
      </c>
      <c r="K89" s="2">
        <f t="shared" si="17"/>
        <v>1</v>
      </c>
      <c r="L89" s="2" t="s">
        <v>454</v>
      </c>
      <c r="M89" s="2" t="s">
        <v>452</v>
      </c>
      <c r="N89" s="2" t="s">
        <v>449</v>
      </c>
    </row>
    <row r="90" spans="1:14" x14ac:dyDescent="0.15">
      <c r="A90" s="2">
        <v>94</v>
      </c>
      <c r="B90" s="2">
        <v>5000</v>
      </c>
      <c r="C90" s="2">
        <v>1500</v>
      </c>
      <c r="D90" s="2">
        <v>9000</v>
      </c>
      <c r="E90" s="2">
        <v>9</v>
      </c>
      <c r="F90" s="2">
        <f t="shared" si="12"/>
        <v>0</v>
      </c>
      <c r="G90" s="2">
        <f t="shared" si="13"/>
        <v>0</v>
      </c>
      <c r="H90" s="2">
        <f t="shared" si="14"/>
        <v>0</v>
      </c>
      <c r="I90" s="2">
        <f t="shared" si="15"/>
        <v>0</v>
      </c>
      <c r="J90" s="2">
        <f t="shared" si="16"/>
        <v>0</v>
      </c>
      <c r="K90" s="2">
        <f t="shared" si="17"/>
        <v>1</v>
      </c>
      <c r="L90" s="2" t="s">
        <v>454</v>
      </c>
      <c r="M90" s="2" t="s">
        <v>448</v>
      </c>
      <c r="N90" s="2" t="s">
        <v>449</v>
      </c>
    </row>
    <row r="91" spans="1:14" x14ac:dyDescent="0.15">
      <c r="A91" s="2">
        <v>95</v>
      </c>
      <c r="B91" s="2">
        <v>3700</v>
      </c>
      <c r="C91" s="2">
        <v>1700</v>
      </c>
      <c r="D91" s="2">
        <v>2900</v>
      </c>
      <c r="E91" s="2">
        <v>6</v>
      </c>
      <c r="F91" s="2">
        <f t="shared" si="12"/>
        <v>0</v>
      </c>
      <c r="G91" s="2">
        <f t="shared" si="13"/>
        <v>1</v>
      </c>
      <c r="H91" s="2">
        <f t="shared" si="14"/>
        <v>0</v>
      </c>
      <c r="I91" s="2">
        <f t="shared" si="15"/>
        <v>1</v>
      </c>
      <c r="J91" s="2">
        <f t="shared" si="16"/>
        <v>0</v>
      </c>
      <c r="K91" s="2">
        <f t="shared" si="17"/>
        <v>0</v>
      </c>
      <c r="L91" s="2" t="s">
        <v>454</v>
      </c>
      <c r="M91" s="2" t="s">
        <v>452</v>
      </c>
      <c r="N91" s="2" t="s">
        <v>450</v>
      </c>
    </row>
    <row r="92" spans="1:14" x14ac:dyDescent="0.15">
      <c r="A92" s="2">
        <v>97</v>
      </c>
      <c r="B92" s="2">
        <v>5500</v>
      </c>
      <c r="C92" s="2">
        <v>2000</v>
      </c>
      <c r="D92" s="2">
        <v>3300</v>
      </c>
      <c r="E92" s="2">
        <v>24</v>
      </c>
      <c r="F92" s="2">
        <f t="shared" si="12"/>
        <v>0</v>
      </c>
      <c r="G92" s="2">
        <f t="shared" si="13"/>
        <v>0</v>
      </c>
      <c r="H92" s="2">
        <f t="shared" si="14"/>
        <v>0</v>
      </c>
      <c r="I92" s="2">
        <f t="shared" si="15"/>
        <v>1</v>
      </c>
      <c r="J92" s="2">
        <f t="shared" si="16"/>
        <v>0</v>
      </c>
      <c r="K92" s="2">
        <f t="shared" si="17"/>
        <v>0</v>
      </c>
      <c r="L92" s="2" t="s">
        <v>454</v>
      </c>
      <c r="M92" s="2" t="s">
        <v>448</v>
      </c>
      <c r="N92" s="2" t="s">
        <v>450</v>
      </c>
    </row>
    <row r="93" spans="1:14" x14ac:dyDescent="0.15">
      <c r="A93" s="2">
        <v>98</v>
      </c>
      <c r="B93" s="2">
        <v>3000</v>
      </c>
      <c r="C93" s="2">
        <v>1500</v>
      </c>
      <c r="D93" s="2">
        <v>12999</v>
      </c>
      <c r="E93" s="2">
        <v>18</v>
      </c>
      <c r="F93" s="2">
        <f t="shared" si="12"/>
        <v>0</v>
      </c>
      <c r="G93" s="2">
        <f t="shared" si="13"/>
        <v>0</v>
      </c>
      <c r="H93" s="2">
        <f t="shared" si="14"/>
        <v>0</v>
      </c>
      <c r="I93" s="2">
        <f t="shared" si="15"/>
        <v>1</v>
      </c>
      <c r="J93" s="2">
        <f t="shared" si="16"/>
        <v>0</v>
      </c>
      <c r="K93" s="2">
        <f t="shared" si="17"/>
        <v>0</v>
      </c>
      <c r="L93" s="2" t="s">
        <v>454</v>
      </c>
      <c r="M93" s="2" t="s">
        <v>448</v>
      </c>
      <c r="N93" s="2" t="s">
        <v>450</v>
      </c>
    </row>
    <row r="94" spans="1:14" x14ac:dyDescent="0.15">
      <c r="A94" s="2">
        <v>99</v>
      </c>
      <c r="B94" s="2">
        <v>4299</v>
      </c>
      <c r="C94" s="2">
        <v>1000</v>
      </c>
      <c r="D94" s="2">
        <v>2600</v>
      </c>
      <c r="E94" s="2">
        <v>5</v>
      </c>
      <c r="F94" s="2">
        <f t="shared" si="12"/>
        <v>0</v>
      </c>
      <c r="G94" s="2">
        <f t="shared" si="13"/>
        <v>1</v>
      </c>
      <c r="H94" s="2">
        <f t="shared" si="14"/>
        <v>0</v>
      </c>
      <c r="I94" s="2">
        <f t="shared" si="15"/>
        <v>1</v>
      </c>
      <c r="J94" s="2">
        <f t="shared" si="16"/>
        <v>0</v>
      </c>
      <c r="K94" s="2">
        <f t="shared" si="17"/>
        <v>0</v>
      </c>
      <c r="L94" s="2" t="s">
        <v>454</v>
      </c>
      <c r="M94" s="2" t="s">
        <v>452</v>
      </c>
      <c r="N94" s="2" t="s">
        <v>450</v>
      </c>
    </row>
    <row r="95" spans="1:14" x14ac:dyDescent="0.15">
      <c r="A95" s="2">
        <v>100</v>
      </c>
      <c r="B95" s="2">
        <v>3200</v>
      </c>
      <c r="C95" s="2">
        <v>1500</v>
      </c>
      <c r="D95" s="2">
        <v>2700</v>
      </c>
      <c r="E95" s="2">
        <v>18</v>
      </c>
      <c r="F95" s="2">
        <f t="shared" si="12"/>
        <v>0</v>
      </c>
      <c r="G95" s="2">
        <f t="shared" si="13"/>
        <v>1</v>
      </c>
      <c r="H95" s="2">
        <f t="shared" si="14"/>
        <v>0</v>
      </c>
      <c r="I95" s="2">
        <f t="shared" si="15"/>
        <v>1</v>
      </c>
      <c r="J95" s="2">
        <f t="shared" si="16"/>
        <v>0</v>
      </c>
      <c r="K95" s="2">
        <f t="shared" si="17"/>
        <v>0</v>
      </c>
      <c r="L95" s="2" t="s">
        <v>454</v>
      </c>
      <c r="M95" s="2" t="s">
        <v>452</v>
      </c>
      <c r="N95" s="2" t="s">
        <v>450</v>
      </c>
    </row>
    <row r="96" spans="1:14" x14ac:dyDescent="0.15">
      <c r="A96" s="2">
        <v>101</v>
      </c>
      <c r="B96" s="2">
        <v>7000</v>
      </c>
      <c r="C96" s="2">
        <v>1600</v>
      </c>
      <c r="D96" s="2">
        <v>6000</v>
      </c>
      <c r="E96" s="2">
        <v>20</v>
      </c>
      <c r="F96" s="2">
        <f t="shared" si="12"/>
        <v>0</v>
      </c>
      <c r="G96" s="2">
        <f t="shared" si="13"/>
        <v>1</v>
      </c>
      <c r="H96" s="2">
        <f t="shared" si="14"/>
        <v>0</v>
      </c>
      <c r="I96" s="2">
        <f t="shared" si="15"/>
        <v>1</v>
      </c>
      <c r="J96" s="2">
        <f t="shared" si="16"/>
        <v>0</v>
      </c>
      <c r="K96" s="2">
        <f t="shared" si="17"/>
        <v>0</v>
      </c>
      <c r="L96" s="2" t="s">
        <v>454</v>
      </c>
      <c r="M96" s="2" t="s">
        <v>452</v>
      </c>
      <c r="N96" s="2" t="s">
        <v>450</v>
      </c>
    </row>
    <row r="97" spans="1:14" x14ac:dyDescent="0.15">
      <c r="A97" s="2">
        <v>102</v>
      </c>
      <c r="B97" s="2">
        <v>8000</v>
      </c>
      <c r="C97" s="2">
        <v>2200</v>
      </c>
      <c r="D97" s="2">
        <v>4000</v>
      </c>
      <c r="E97" s="2">
        <v>6</v>
      </c>
      <c r="F97" s="2">
        <f t="shared" si="12"/>
        <v>1</v>
      </c>
      <c r="G97" s="2">
        <f t="shared" si="13"/>
        <v>1</v>
      </c>
      <c r="H97" s="2">
        <f t="shared" si="14"/>
        <v>0</v>
      </c>
      <c r="I97" s="2">
        <f t="shared" si="15"/>
        <v>1</v>
      </c>
      <c r="J97" s="2">
        <f t="shared" si="16"/>
        <v>0</v>
      </c>
      <c r="K97" s="2">
        <f t="shared" si="17"/>
        <v>0</v>
      </c>
      <c r="L97" s="2" t="s">
        <v>427</v>
      </c>
      <c r="M97" s="2" t="s">
        <v>452</v>
      </c>
      <c r="N97" s="2" t="s">
        <v>450</v>
      </c>
    </row>
    <row r="98" spans="1:14" x14ac:dyDescent="0.15">
      <c r="A98" s="2">
        <v>103</v>
      </c>
      <c r="B98" s="2">
        <v>6715</v>
      </c>
      <c r="C98" s="2">
        <v>1511</v>
      </c>
      <c r="D98" s="2">
        <v>6115</v>
      </c>
      <c r="E98" s="2">
        <v>18</v>
      </c>
      <c r="F98" s="2">
        <f t="shared" ref="F98:F129" si="18">IF(L98="male",1,0)</f>
        <v>1</v>
      </c>
      <c r="G98" s="2">
        <f t="shared" ref="G98:G129" si="19">IF(M98="lite",1,0)</f>
        <v>0</v>
      </c>
      <c r="H98" s="2">
        <f t="shared" ref="H98:H129" si="20">IF(N98="premium",1,0)</f>
        <v>1</v>
      </c>
      <c r="I98" s="2">
        <f t="shared" ref="I98:I129" si="21">IF(N98="mainstream",1,0)</f>
        <v>0</v>
      </c>
      <c r="J98" s="2">
        <f t="shared" ref="J98:J129" si="22">IF(N98="gaming",1,0)</f>
        <v>0</v>
      </c>
      <c r="K98" s="2">
        <f t="shared" ref="K98:K129" si="23">IF(N98="value",1,0)</f>
        <v>0</v>
      </c>
      <c r="L98" s="2" t="s">
        <v>427</v>
      </c>
      <c r="M98" s="2" t="s">
        <v>448</v>
      </c>
      <c r="N98" s="2" t="s">
        <v>453</v>
      </c>
    </row>
    <row r="99" spans="1:14" x14ac:dyDescent="0.15">
      <c r="A99" s="2">
        <v>104</v>
      </c>
      <c r="B99" s="2">
        <v>2599</v>
      </c>
      <c r="C99" s="2">
        <v>1500</v>
      </c>
      <c r="D99" s="2">
        <v>1614</v>
      </c>
      <c r="E99" s="2">
        <v>13</v>
      </c>
      <c r="F99" s="2">
        <f t="shared" si="18"/>
        <v>1</v>
      </c>
      <c r="G99" s="2">
        <f t="shared" si="19"/>
        <v>1</v>
      </c>
      <c r="H99" s="2">
        <f t="shared" si="20"/>
        <v>0</v>
      </c>
      <c r="I99" s="2">
        <f t="shared" si="21"/>
        <v>0</v>
      </c>
      <c r="J99" s="2">
        <f t="shared" si="22"/>
        <v>0</v>
      </c>
      <c r="K99" s="2">
        <f t="shared" si="23"/>
        <v>1</v>
      </c>
      <c r="L99" s="2" t="s">
        <v>427</v>
      </c>
      <c r="M99" s="2" t="s">
        <v>452</v>
      </c>
      <c r="N99" s="2" t="s">
        <v>449</v>
      </c>
    </row>
    <row r="100" spans="1:14" x14ac:dyDescent="0.15">
      <c r="A100" s="2">
        <v>105</v>
      </c>
      <c r="B100" s="2">
        <v>8599</v>
      </c>
      <c r="C100" s="2">
        <v>2500</v>
      </c>
      <c r="D100" s="2">
        <v>7799</v>
      </c>
      <c r="E100" s="2">
        <v>8</v>
      </c>
      <c r="F100" s="2">
        <f t="shared" si="18"/>
        <v>0</v>
      </c>
      <c r="G100" s="2">
        <f t="shared" si="19"/>
        <v>0</v>
      </c>
      <c r="H100" s="2">
        <f t="shared" si="20"/>
        <v>1</v>
      </c>
      <c r="I100" s="2">
        <f t="shared" si="21"/>
        <v>0</v>
      </c>
      <c r="J100" s="2">
        <f t="shared" si="22"/>
        <v>0</v>
      </c>
      <c r="K100" s="2">
        <f t="shared" si="23"/>
        <v>0</v>
      </c>
      <c r="L100" s="2" t="s">
        <v>454</v>
      </c>
      <c r="M100" s="2" t="s">
        <v>448</v>
      </c>
      <c r="N100" s="2" t="s">
        <v>453</v>
      </c>
    </row>
    <row r="101" spans="1:14" x14ac:dyDescent="0.15">
      <c r="A101" s="2">
        <v>106</v>
      </c>
      <c r="B101" s="2">
        <v>7200</v>
      </c>
      <c r="C101" s="2">
        <v>2500</v>
      </c>
      <c r="D101" s="2">
        <v>8100</v>
      </c>
      <c r="E101" s="2">
        <v>6</v>
      </c>
      <c r="F101" s="2">
        <f t="shared" si="18"/>
        <v>0</v>
      </c>
      <c r="G101" s="2">
        <f t="shared" si="19"/>
        <v>1</v>
      </c>
      <c r="H101" s="2">
        <f t="shared" si="20"/>
        <v>0</v>
      </c>
      <c r="I101" s="2">
        <f t="shared" si="21"/>
        <v>1</v>
      </c>
      <c r="J101" s="2">
        <f t="shared" si="22"/>
        <v>0</v>
      </c>
      <c r="K101" s="2">
        <f t="shared" si="23"/>
        <v>0</v>
      </c>
      <c r="L101" s="2" t="s">
        <v>454</v>
      </c>
      <c r="M101" s="2" t="s">
        <v>452</v>
      </c>
      <c r="N101" s="2" t="s">
        <v>450</v>
      </c>
    </row>
    <row r="102" spans="1:14" x14ac:dyDescent="0.15">
      <c r="A102" s="2">
        <v>107</v>
      </c>
      <c r="B102" s="2">
        <v>6000</v>
      </c>
      <c r="C102" s="2">
        <v>2200</v>
      </c>
      <c r="D102" s="2">
        <v>5800</v>
      </c>
      <c r="E102" s="2">
        <v>18</v>
      </c>
      <c r="F102" s="2">
        <f t="shared" si="18"/>
        <v>1</v>
      </c>
      <c r="G102" s="2">
        <f t="shared" si="19"/>
        <v>1</v>
      </c>
      <c r="H102" s="2">
        <f t="shared" si="20"/>
        <v>0</v>
      </c>
      <c r="I102" s="2">
        <f t="shared" si="21"/>
        <v>0</v>
      </c>
      <c r="J102" s="2">
        <f t="shared" si="22"/>
        <v>0</v>
      </c>
      <c r="K102" s="2">
        <f t="shared" si="23"/>
        <v>1</v>
      </c>
      <c r="L102" s="2" t="s">
        <v>427</v>
      </c>
      <c r="M102" s="2" t="s">
        <v>452</v>
      </c>
      <c r="N102" s="2" t="s">
        <v>449</v>
      </c>
    </row>
    <row r="103" spans="1:14" x14ac:dyDescent="0.15">
      <c r="A103" s="2">
        <v>108</v>
      </c>
      <c r="B103" s="2">
        <v>8000</v>
      </c>
      <c r="C103" s="2">
        <v>3000</v>
      </c>
      <c r="D103" s="2">
        <v>6000</v>
      </c>
      <c r="E103" s="2">
        <v>9</v>
      </c>
      <c r="F103" s="2">
        <f t="shared" si="18"/>
        <v>1</v>
      </c>
      <c r="G103" s="2">
        <f t="shared" si="19"/>
        <v>0</v>
      </c>
      <c r="H103" s="2">
        <f t="shared" si="20"/>
        <v>0</v>
      </c>
      <c r="I103" s="2">
        <f t="shared" si="21"/>
        <v>0</v>
      </c>
      <c r="J103" s="2">
        <f t="shared" si="22"/>
        <v>1</v>
      </c>
      <c r="K103" s="2">
        <f t="shared" si="23"/>
        <v>0</v>
      </c>
      <c r="L103" s="2" t="s">
        <v>427</v>
      </c>
      <c r="M103" s="2" t="s">
        <v>448</v>
      </c>
      <c r="N103" s="2" t="s">
        <v>451</v>
      </c>
    </row>
    <row r="104" spans="1:14" x14ac:dyDescent="0.15">
      <c r="A104" s="2">
        <v>109</v>
      </c>
      <c r="B104" s="2">
        <v>7000</v>
      </c>
      <c r="C104" s="2">
        <v>3000</v>
      </c>
      <c r="D104" s="2">
        <v>5000</v>
      </c>
      <c r="E104" s="2">
        <v>6</v>
      </c>
      <c r="F104" s="2">
        <f t="shared" si="18"/>
        <v>0</v>
      </c>
      <c r="G104" s="2">
        <f t="shared" si="19"/>
        <v>1</v>
      </c>
      <c r="H104" s="2">
        <f t="shared" si="20"/>
        <v>1</v>
      </c>
      <c r="I104" s="2">
        <f t="shared" si="21"/>
        <v>0</v>
      </c>
      <c r="J104" s="2">
        <f t="shared" si="22"/>
        <v>0</v>
      </c>
      <c r="K104" s="2">
        <f t="shared" si="23"/>
        <v>0</v>
      </c>
      <c r="L104" s="2" t="s">
        <v>454</v>
      </c>
      <c r="M104" s="2" t="s">
        <v>452</v>
      </c>
      <c r="N104" s="2" t="s">
        <v>453</v>
      </c>
    </row>
    <row r="105" spans="1:14" x14ac:dyDescent="0.15">
      <c r="A105" s="2">
        <v>110</v>
      </c>
      <c r="B105" s="2">
        <v>5000</v>
      </c>
      <c r="C105" s="2">
        <v>2000</v>
      </c>
      <c r="D105" s="2">
        <v>8600</v>
      </c>
      <c r="E105" s="2">
        <v>13</v>
      </c>
      <c r="F105" s="2">
        <f t="shared" si="18"/>
        <v>0</v>
      </c>
      <c r="G105" s="2">
        <f t="shared" si="19"/>
        <v>1</v>
      </c>
      <c r="H105" s="2">
        <f t="shared" si="20"/>
        <v>0</v>
      </c>
      <c r="I105" s="2">
        <f t="shared" si="21"/>
        <v>1</v>
      </c>
      <c r="J105" s="2">
        <f t="shared" si="22"/>
        <v>0</v>
      </c>
      <c r="K105" s="2">
        <f t="shared" si="23"/>
        <v>0</v>
      </c>
      <c r="L105" s="2" t="s">
        <v>454</v>
      </c>
      <c r="M105" s="2" t="s">
        <v>452</v>
      </c>
      <c r="N105" s="2" t="s">
        <v>450</v>
      </c>
    </row>
    <row r="106" spans="1:14" x14ac:dyDescent="0.15">
      <c r="A106" s="2">
        <v>112</v>
      </c>
      <c r="B106" s="2">
        <v>11999</v>
      </c>
      <c r="C106" s="2">
        <v>1900</v>
      </c>
      <c r="D106" s="2">
        <v>9999</v>
      </c>
      <c r="E106" s="2">
        <v>4</v>
      </c>
      <c r="F106" s="2">
        <f t="shared" si="18"/>
        <v>0</v>
      </c>
      <c r="G106" s="2">
        <f t="shared" si="19"/>
        <v>0</v>
      </c>
      <c r="H106" s="2">
        <f t="shared" si="20"/>
        <v>0</v>
      </c>
      <c r="I106" s="2">
        <f t="shared" si="21"/>
        <v>1</v>
      </c>
      <c r="J106" s="2">
        <f t="shared" si="22"/>
        <v>0</v>
      </c>
      <c r="K106" s="2">
        <f t="shared" si="23"/>
        <v>0</v>
      </c>
      <c r="L106" s="2" t="s">
        <v>454</v>
      </c>
      <c r="M106" s="2" t="s">
        <v>448</v>
      </c>
      <c r="N106" s="2" t="s">
        <v>450</v>
      </c>
    </row>
    <row r="107" spans="1:14" x14ac:dyDescent="0.15">
      <c r="A107" s="2">
        <v>113</v>
      </c>
      <c r="B107" s="2">
        <v>4500</v>
      </c>
      <c r="C107" s="2">
        <v>4000</v>
      </c>
      <c r="D107" s="2">
        <v>8699</v>
      </c>
      <c r="E107" s="2">
        <v>42</v>
      </c>
      <c r="F107" s="2">
        <f t="shared" si="18"/>
        <v>0</v>
      </c>
      <c r="G107" s="2">
        <f t="shared" si="19"/>
        <v>1</v>
      </c>
      <c r="H107" s="2">
        <f t="shared" si="20"/>
        <v>1</v>
      </c>
      <c r="I107" s="2">
        <f t="shared" si="21"/>
        <v>0</v>
      </c>
      <c r="J107" s="2">
        <f t="shared" si="22"/>
        <v>0</v>
      </c>
      <c r="K107" s="2">
        <f t="shared" si="23"/>
        <v>0</v>
      </c>
      <c r="L107" s="2" t="s">
        <v>454</v>
      </c>
      <c r="M107" s="2" t="s">
        <v>452</v>
      </c>
      <c r="N107" s="2" t="s">
        <v>453</v>
      </c>
    </row>
    <row r="108" spans="1:14" x14ac:dyDescent="0.15">
      <c r="A108" s="2">
        <v>115</v>
      </c>
      <c r="B108" s="2">
        <v>8000</v>
      </c>
      <c r="C108" s="2">
        <v>5000</v>
      </c>
      <c r="D108" s="2">
        <v>10000</v>
      </c>
      <c r="E108" s="2">
        <v>36</v>
      </c>
      <c r="F108" s="2">
        <f t="shared" si="18"/>
        <v>0</v>
      </c>
      <c r="G108" s="2">
        <f t="shared" si="19"/>
        <v>1</v>
      </c>
      <c r="H108" s="2">
        <f t="shared" si="20"/>
        <v>1</v>
      </c>
      <c r="I108" s="2">
        <f t="shared" si="21"/>
        <v>0</v>
      </c>
      <c r="J108" s="2">
        <f t="shared" si="22"/>
        <v>0</v>
      </c>
      <c r="K108" s="2">
        <f t="shared" si="23"/>
        <v>0</v>
      </c>
      <c r="L108" s="2" t="s">
        <v>454</v>
      </c>
      <c r="M108" s="2" t="s">
        <v>452</v>
      </c>
      <c r="N108" s="2" t="s">
        <v>453</v>
      </c>
    </row>
    <row r="109" spans="1:14" x14ac:dyDescent="0.15">
      <c r="A109" s="2">
        <v>116</v>
      </c>
      <c r="B109" s="2">
        <v>4500</v>
      </c>
      <c r="C109" s="2">
        <v>2500</v>
      </c>
      <c r="D109" s="2">
        <v>5500</v>
      </c>
      <c r="E109" s="2">
        <v>4</v>
      </c>
      <c r="F109" s="2">
        <f t="shared" si="18"/>
        <v>0</v>
      </c>
      <c r="G109" s="2">
        <f t="shared" si="19"/>
        <v>1</v>
      </c>
      <c r="H109" s="2">
        <f t="shared" si="20"/>
        <v>0</v>
      </c>
      <c r="I109" s="2">
        <f t="shared" si="21"/>
        <v>1</v>
      </c>
      <c r="J109" s="2">
        <f t="shared" si="22"/>
        <v>0</v>
      </c>
      <c r="K109" s="2">
        <f t="shared" si="23"/>
        <v>0</v>
      </c>
      <c r="L109" s="2" t="s">
        <v>454</v>
      </c>
      <c r="M109" s="2" t="s">
        <v>452</v>
      </c>
      <c r="N109" s="2" t="s">
        <v>450</v>
      </c>
    </row>
    <row r="110" spans="1:14" x14ac:dyDescent="0.15">
      <c r="A110" s="2">
        <v>117</v>
      </c>
      <c r="B110" s="2">
        <v>6255</v>
      </c>
      <c r="C110" s="2">
        <v>2500</v>
      </c>
      <c r="D110" s="2">
        <v>9299</v>
      </c>
      <c r="E110" s="2">
        <v>12</v>
      </c>
      <c r="F110" s="2">
        <f t="shared" si="18"/>
        <v>0</v>
      </c>
      <c r="G110" s="2">
        <f t="shared" si="19"/>
        <v>1</v>
      </c>
      <c r="H110" s="2">
        <f t="shared" si="20"/>
        <v>0</v>
      </c>
      <c r="I110" s="2">
        <f t="shared" si="21"/>
        <v>1</v>
      </c>
      <c r="J110" s="2">
        <f t="shared" si="22"/>
        <v>0</v>
      </c>
      <c r="K110" s="2">
        <f t="shared" si="23"/>
        <v>0</v>
      </c>
      <c r="L110" s="2" t="s">
        <v>454</v>
      </c>
      <c r="M110" s="2" t="s">
        <v>452</v>
      </c>
      <c r="N110" s="2" t="s">
        <v>450</v>
      </c>
    </row>
    <row r="111" spans="1:14" x14ac:dyDescent="0.15">
      <c r="A111" s="2">
        <v>118</v>
      </c>
      <c r="B111" s="2">
        <v>8500</v>
      </c>
      <c r="C111" s="2">
        <v>2500</v>
      </c>
      <c r="D111" s="2">
        <v>7600</v>
      </c>
      <c r="E111" s="2">
        <v>6</v>
      </c>
      <c r="F111" s="2">
        <f t="shared" si="18"/>
        <v>0</v>
      </c>
      <c r="G111" s="2">
        <f t="shared" si="19"/>
        <v>0</v>
      </c>
      <c r="H111" s="2">
        <f t="shared" si="20"/>
        <v>1</v>
      </c>
      <c r="I111" s="2">
        <f t="shared" si="21"/>
        <v>0</v>
      </c>
      <c r="J111" s="2">
        <f t="shared" si="22"/>
        <v>0</v>
      </c>
      <c r="K111" s="2">
        <f t="shared" si="23"/>
        <v>0</v>
      </c>
      <c r="L111" s="2" t="s">
        <v>454</v>
      </c>
      <c r="M111" s="2" t="s">
        <v>448</v>
      </c>
      <c r="N111" s="2" t="s">
        <v>453</v>
      </c>
    </row>
    <row r="112" spans="1:14" x14ac:dyDescent="0.15">
      <c r="A112" s="2">
        <v>120</v>
      </c>
      <c r="B112" s="2">
        <v>6000</v>
      </c>
      <c r="C112" s="2">
        <v>3500</v>
      </c>
      <c r="D112" s="2">
        <v>8000</v>
      </c>
      <c r="E112" s="2">
        <v>9</v>
      </c>
      <c r="F112" s="2">
        <f t="shared" si="18"/>
        <v>0</v>
      </c>
      <c r="G112" s="2">
        <f t="shared" si="19"/>
        <v>1</v>
      </c>
      <c r="H112" s="2">
        <f t="shared" si="20"/>
        <v>1</v>
      </c>
      <c r="I112" s="2">
        <f t="shared" si="21"/>
        <v>0</v>
      </c>
      <c r="J112" s="2">
        <f t="shared" si="22"/>
        <v>0</v>
      </c>
      <c r="K112" s="2">
        <f t="shared" si="23"/>
        <v>0</v>
      </c>
      <c r="L112" s="2" t="s">
        <v>454</v>
      </c>
      <c r="M112" s="2" t="s">
        <v>452</v>
      </c>
      <c r="N112" s="2" t="s">
        <v>453</v>
      </c>
    </row>
    <row r="113" spans="1:14" x14ac:dyDescent="0.15">
      <c r="A113" s="2">
        <v>121</v>
      </c>
      <c r="B113" s="2">
        <v>9599</v>
      </c>
      <c r="C113" s="2">
        <v>3000</v>
      </c>
      <c r="D113" s="2">
        <v>8999</v>
      </c>
      <c r="E113" s="2">
        <v>8</v>
      </c>
      <c r="F113" s="2">
        <f t="shared" si="18"/>
        <v>1</v>
      </c>
      <c r="G113" s="2">
        <f t="shared" si="19"/>
        <v>0</v>
      </c>
      <c r="H113" s="2">
        <f t="shared" si="20"/>
        <v>0</v>
      </c>
      <c r="I113" s="2">
        <f t="shared" si="21"/>
        <v>1</v>
      </c>
      <c r="J113" s="2">
        <f t="shared" si="22"/>
        <v>0</v>
      </c>
      <c r="K113" s="2">
        <f t="shared" si="23"/>
        <v>0</v>
      </c>
      <c r="L113" s="2" t="s">
        <v>427</v>
      </c>
      <c r="M113" s="2" t="s">
        <v>448</v>
      </c>
      <c r="N113" s="2" t="s">
        <v>450</v>
      </c>
    </row>
    <row r="114" spans="1:14" x14ac:dyDescent="0.15">
      <c r="A114" s="2">
        <v>122</v>
      </c>
      <c r="B114" s="2">
        <v>6399</v>
      </c>
      <c r="C114" s="2">
        <v>3000</v>
      </c>
      <c r="D114" s="2">
        <v>12000</v>
      </c>
      <c r="E114" s="2">
        <v>8</v>
      </c>
      <c r="F114" s="2">
        <f t="shared" si="18"/>
        <v>0</v>
      </c>
      <c r="G114" s="2">
        <f t="shared" si="19"/>
        <v>1</v>
      </c>
      <c r="H114" s="2">
        <f t="shared" si="20"/>
        <v>0</v>
      </c>
      <c r="I114" s="2">
        <f t="shared" si="21"/>
        <v>1</v>
      </c>
      <c r="J114" s="2">
        <f t="shared" si="22"/>
        <v>0</v>
      </c>
      <c r="K114" s="2">
        <f t="shared" si="23"/>
        <v>0</v>
      </c>
      <c r="L114" s="2" t="s">
        <v>454</v>
      </c>
      <c r="M114" s="2" t="s">
        <v>452</v>
      </c>
      <c r="N114" s="2" t="s">
        <v>450</v>
      </c>
    </row>
    <row r="115" spans="1:14" x14ac:dyDescent="0.15">
      <c r="A115" s="2">
        <v>123</v>
      </c>
      <c r="B115" s="2">
        <v>7699</v>
      </c>
      <c r="C115" s="2">
        <v>2500</v>
      </c>
      <c r="D115" s="2">
        <v>1500</v>
      </c>
      <c r="E115" s="2">
        <v>6</v>
      </c>
      <c r="F115" s="2">
        <f t="shared" si="18"/>
        <v>0</v>
      </c>
      <c r="G115" s="2">
        <f t="shared" si="19"/>
        <v>1</v>
      </c>
      <c r="H115" s="2">
        <f t="shared" si="20"/>
        <v>0</v>
      </c>
      <c r="I115" s="2">
        <f t="shared" si="21"/>
        <v>1</v>
      </c>
      <c r="J115" s="2">
        <f t="shared" si="22"/>
        <v>0</v>
      </c>
      <c r="K115" s="2">
        <f t="shared" si="23"/>
        <v>0</v>
      </c>
      <c r="L115" s="2" t="s">
        <v>454</v>
      </c>
      <c r="M115" s="2" t="s">
        <v>452</v>
      </c>
      <c r="N115" s="2" t="s">
        <v>450</v>
      </c>
    </row>
    <row r="116" spans="1:14" x14ac:dyDescent="0.15">
      <c r="A116" s="2">
        <v>124</v>
      </c>
      <c r="B116" s="2">
        <v>9000</v>
      </c>
      <c r="C116" s="2">
        <v>3000</v>
      </c>
      <c r="D116" s="2">
        <v>4000</v>
      </c>
      <c r="E116" s="2">
        <v>6</v>
      </c>
      <c r="F116" s="2">
        <f t="shared" si="18"/>
        <v>1</v>
      </c>
      <c r="G116" s="2">
        <f t="shared" si="19"/>
        <v>0</v>
      </c>
      <c r="H116" s="2">
        <f t="shared" si="20"/>
        <v>0</v>
      </c>
      <c r="I116" s="2">
        <f t="shared" si="21"/>
        <v>0</v>
      </c>
      <c r="J116" s="2">
        <f t="shared" si="22"/>
        <v>1</v>
      </c>
      <c r="K116" s="2">
        <f t="shared" si="23"/>
        <v>0</v>
      </c>
      <c r="L116" s="2" t="s">
        <v>427</v>
      </c>
      <c r="M116" s="2" t="s">
        <v>448</v>
      </c>
      <c r="N116" s="2" t="s">
        <v>451</v>
      </c>
    </row>
    <row r="117" spans="1:14" x14ac:dyDescent="0.15">
      <c r="A117" s="2">
        <v>126</v>
      </c>
      <c r="B117" s="2">
        <v>5600</v>
      </c>
      <c r="C117" s="2">
        <v>3000</v>
      </c>
      <c r="D117" s="2">
        <v>6900</v>
      </c>
      <c r="E117" s="2">
        <v>18</v>
      </c>
      <c r="F117" s="2">
        <f t="shared" si="18"/>
        <v>0</v>
      </c>
      <c r="G117" s="2">
        <f t="shared" si="19"/>
        <v>1</v>
      </c>
      <c r="H117" s="2">
        <f t="shared" si="20"/>
        <v>0</v>
      </c>
      <c r="I117" s="2">
        <f t="shared" si="21"/>
        <v>1</v>
      </c>
      <c r="J117" s="2">
        <f t="shared" si="22"/>
        <v>0</v>
      </c>
      <c r="K117" s="2">
        <f t="shared" si="23"/>
        <v>0</v>
      </c>
      <c r="L117" s="2" t="s">
        <v>454</v>
      </c>
      <c r="M117" s="2" t="s">
        <v>452</v>
      </c>
      <c r="N117" s="2" t="s">
        <v>450</v>
      </c>
    </row>
    <row r="118" spans="1:14" x14ac:dyDescent="0.15">
      <c r="A118" s="2">
        <v>127</v>
      </c>
      <c r="B118" s="2">
        <v>9900</v>
      </c>
      <c r="C118" s="2">
        <v>1500</v>
      </c>
      <c r="D118" s="2">
        <v>1208</v>
      </c>
      <c r="E118" s="2">
        <v>19</v>
      </c>
      <c r="F118" s="2">
        <f t="shared" si="18"/>
        <v>1</v>
      </c>
      <c r="G118" s="2">
        <f t="shared" si="19"/>
        <v>1</v>
      </c>
      <c r="H118" s="2">
        <f t="shared" si="20"/>
        <v>0</v>
      </c>
      <c r="I118" s="2">
        <f t="shared" si="21"/>
        <v>1</v>
      </c>
      <c r="J118" s="2">
        <f t="shared" si="22"/>
        <v>0</v>
      </c>
      <c r="K118" s="2">
        <f t="shared" si="23"/>
        <v>0</v>
      </c>
      <c r="L118" s="2" t="s">
        <v>427</v>
      </c>
      <c r="M118" s="2" t="s">
        <v>452</v>
      </c>
      <c r="N118" s="2" t="s">
        <v>450</v>
      </c>
    </row>
    <row r="119" spans="1:14" x14ac:dyDescent="0.15">
      <c r="A119" s="2">
        <v>128</v>
      </c>
      <c r="B119" s="2">
        <v>6600</v>
      </c>
      <c r="C119" s="2">
        <v>2500</v>
      </c>
      <c r="D119" s="2">
        <v>2999</v>
      </c>
      <c r="E119" s="2">
        <v>7</v>
      </c>
      <c r="F119" s="2">
        <f t="shared" si="18"/>
        <v>0</v>
      </c>
      <c r="G119" s="2">
        <f t="shared" si="19"/>
        <v>0</v>
      </c>
      <c r="H119" s="2">
        <f t="shared" si="20"/>
        <v>0</v>
      </c>
      <c r="I119" s="2">
        <f t="shared" si="21"/>
        <v>0</v>
      </c>
      <c r="J119" s="2">
        <f t="shared" si="22"/>
        <v>1</v>
      </c>
      <c r="K119" s="2">
        <f t="shared" si="23"/>
        <v>0</v>
      </c>
      <c r="L119" s="2" t="s">
        <v>454</v>
      </c>
      <c r="M119" s="2" t="s">
        <v>448</v>
      </c>
      <c r="N119" s="2" t="s">
        <v>451</v>
      </c>
    </row>
    <row r="120" spans="1:14" x14ac:dyDescent="0.15">
      <c r="A120" s="2">
        <v>129</v>
      </c>
      <c r="B120" s="2">
        <v>5600</v>
      </c>
      <c r="C120" s="2">
        <v>1500</v>
      </c>
      <c r="D120" s="2">
        <v>7999</v>
      </c>
      <c r="E120" s="2">
        <v>6</v>
      </c>
      <c r="F120" s="2">
        <f t="shared" si="18"/>
        <v>1</v>
      </c>
      <c r="G120" s="2">
        <f t="shared" si="19"/>
        <v>0</v>
      </c>
      <c r="H120" s="2">
        <f t="shared" si="20"/>
        <v>0</v>
      </c>
      <c r="I120" s="2">
        <f t="shared" si="21"/>
        <v>1</v>
      </c>
      <c r="J120" s="2">
        <f t="shared" si="22"/>
        <v>0</v>
      </c>
      <c r="K120" s="2">
        <f t="shared" si="23"/>
        <v>0</v>
      </c>
      <c r="L120" s="2" t="s">
        <v>427</v>
      </c>
      <c r="M120" s="2" t="s">
        <v>448</v>
      </c>
      <c r="N120" s="2" t="s">
        <v>450</v>
      </c>
    </row>
    <row r="121" spans="1:14" x14ac:dyDescent="0.15">
      <c r="A121" s="2">
        <v>130</v>
      </c>
      <c r="B121" s="2">
        <v>5500</v>
      </c>
      <c r="C121" s="2">
        <v>2000</v>
      </c>
      <c r="D121" s="2">
        <v>3200</v>
      </c>
      <c r="E121" s="2">
        <v>6</v>
      </c>
      <c r="F121" s="2">
        <f t="shared" si="18"/>
        <v>0</v>
      </c>
      <c r="G121" s="2">
        <f t="shared" si="19"/>
        <v>1</v>
      </c>
      <c r="H121" s="2">
        <f t="shared" si="20"/>
        <v>0</v>
      </c>
      <c r="I121" s="2">
        <f t="shared" si="21"/>
        <v>1</v>
      </c>
      <c r="J121" s="2">
        <f t="shared" si="22"/>
        <v>0</v>
      </c>
      <c r="K121" s="2">
        <f t="shared" si="23"/>
        <v>0</v>
      </c>
      <c r="L121" s="2" t="s">
        <v>454</v>
      </c>
      <c r="M121" s="2" t="s">
        <v>452</v>
      </c>
      <c r="N121" s="2" t="s">
        <v>450</v>
      </c>
    </row>
    <row r="122" spans="1:14" x14ac:dyDescent="0.15">
      <c r="A122" s="2">
        <v>131</v>
      </c>
      <c r="B122" s="2">
        <v>7500</v>
      </c>
      <c r="C122" s="2">
        <v>1500</v>
      </c>
      <c r="D122" s="2">
        <v>6000</v>
      </c>
      <c r="E122" s="2">
        <v>2</v>
      </c>
      <c r="F122" s="2">
        <f t="shared" si="18"/>
        <v>0</v>
      </c>
      <c r="G122" s="2">
        <f t="shared" si="19"/>
        <v>0</v>
      </c>
      <c r="H122" s="2">
        <f t="shared" si="20"/>
        <v>0</v>
      </c>
      <c r="I122" s="2">
        <f t="shared" si="21"/>
        <v>0</v>
      </c>
      <c r="J122" s="2">
        <f t="shared" si="22"/>
        <v>1</v>
      </c>
      <c r="K122" s="2">
        <f t="shared" si="23"/>
        <v>0</v>
      </c>
      <c r="L122" s="2" t="s">
        <v>454</v>
      </c>
      <c r="M122" s="2" t="s">
        <v>448</v>
      </c>
      <c r="N122" s="2" t="s">
        <v>451</v>
      </c>
    </row>
    <row r="123" spans="1:14" x14ac:dyDescent="0.15">
      <c r="A123" s="2">
        <v>132</v>
      </c>
      <c r="B123" s="2">
        <v>3599</v>
      </c>
      <c r="C123" s="2">
        <v>2500</v>
      </c>
      <c r="D123" s="2">
        <v>5999</v>
      </c>
      <c r="E123" s="2">
        <v>4</v>
      </c>
      <c r="F123" s="2">
        <f t="shared" si="18"/>
        <v>0</v>
      </c>
      <c r="G123" s="2">
        <f t="shared" si="19"/>
        <v>1</v>
      </c>
      <c r="H123" s="2">
        <f t="shared" si="20"/>
        <v>1</v>
      </c>
      <c r="I123" s="2">
        <f t="shared" si="21"/>
        <v>0</v>
      </c>
      <c r="J123" s="2">
        <f t="shared" si="22"/>
        <v>0</v>
      </c>
      <c r="K123" s="2">
        <f t="shared" si="23"/>
        <v>0</v>
      </c>
      <c r="L123" s="2" t="s">
        <v>454</v>
      </c>
      <c r="M123" s="2" t="s">
        <v>452</v>
      </c>
      <c r="N123" s="2" t="s">
        <v>453</v>
      </c>
    </row>
    <row r="124" spans="1:14" x14ac:dyDescent="0.15">
      <c r="A124" s="2">
        <v>133</v>
      </c>
      <c r="B124" s="2">
        <v>10000</v>
      </c>
      <c r="C124" s="2">
        <v>2400</v>
      </c>
      <c r="D124" s="2">
        <v>10000</v>
      </c>
      <c r="E124" s="2">
        <v>16</v>
      </c>
      <c r="F124" s="2">
        <f t="shared" si="18"/>
        <v>1</v>
      </c>
      <c r="G124" s="2">
        <f t="shared" si="19"/>
        <v>0</v>
      </c>
      <c r="H124" s="2">
        <f t="shared" si="20"/>
        <v>0</v>
      </c>
      <c r="I124" s="2">
        <f t="shared" si="21"/>
        <v>0</v>
      </c>
      <c r="J124" s="2">
        <f t="shared" si="22"/>
        <v>1</v>
      </c>
      <c r="K124" s="2">
        <f t="shared" si="23"/>
        <v>0</v>
      </c>
      <c r="L124" s="2" t="s">
        <v>427</v>
      </c>
      <c r="M124" s="2" t="s">
        <v>448</v>
      </c>
      <c r="N124" s="2" t="s">
        <v>451</v>
      </c>
    </row>
    <row r="125" spans="1:14" x14ac:dyDescent="0.15">
      <c r="A125" s="2">
        <v>134</v>
      </c>
      <c r="B125" s="2">
        <v>10000</v>
      </c>
      <c r="C125" s="2">
        <v>2200</v>
      </c>
      <c r="D125" s="2">
        <v>2600</v>
      </c>
      <c r="E125" s="2">
        <v>6</v>
      </c>
      <c r="F125" s="2">
        <f t="shared" si="18"/>
        <v>1</v>
      </c>
      <c r="G125" s="2">
        <f t="shared" si="19"/>
        <v>0</v>
      </c>
      <c r="H125" s="2">
        <f t="shared" si="20"/>
        <v>0</v>
      </c>
      <c r="I125" s="2">
        <f t="shared" si="21"/>
        <v>0</v>
      </c>
      <c r="J125" s="2">
        <f t="shared" si="22"/>
        <v>0</v>
      </c>
      <c r="K125" s="2">
        <f t="shared" si="23"/>
        <v>1</v>
      </c>
      <c r="L125" s="2" t="s">
        <v>427</v>
      </c>
      <c r="M125" s="2" t="s">
        <v>448</v>
      </c>
      <c r="N125" s="2" t="s">
        <v>449</v>
      </c>
    </row>
    <row r="126" spans="1:14" x14ac:dyDescent="0.15">
      <c r="A126" s="2">
        <v>136</v>
      </c>
      <c r="B126" s="2">
        <v>8999</v>
      </c>
      <c r="C126" s="2">
        <v>2500</v>
      </c>
      <c r="D126" s="2">
        <v>6099</v>
      </c>
      <c r="E126" s="2">
        <v>6</v>
      </c>
      <c r="F126" s="2">
        <f t="shared" si="18"/>
        <v>1</v>
      </c>
      <c r="G126" s="2">
        <f t="shared" si="19"/>
        <v>0</v>
      </c>
      <c r="H126" s="2">
        <f t="shared" si="20"/>
        <v>0</v>
      </c>
      <c r="I126" s="2">
        <f t="shared" si="21"/>
        <v>1</v>
      </c>
      <c r="J126" s="2">
        <f t="shared" si="22"/>
        <v>0</v>
      </c>
      <c r="K126" s="2">
        <f t="shared" si="23"/>
        <v>0</v>
      </c>
      <c r="L126" s="2" t="s">
        <v>427</v>
      </c>
      <c r="M126" s="2" t="s">
        <v>448</v>
      </c>
      <c r="N126" s="2" t="s">
        <v>450</v>
      </c>
    </row>
    <row r="127" spans="1:14" x14ac:dyDescent="0.15">
      <c r="A127" s="2">
        <v>138</v>
      </c>
      <c r="B127" s="2">
        <v>5200</v>
      </c>
      <c r="C127" s="2">
        <v>2200</v>
      </c>
      <c r="D127" s="2">
        <v>5999</v>
      </c>
      <c r="E127" s="2">
        <v>6</v>
      </c>
      <c r="F127" s="2">
        <f t="shared" si="18"/>
        <v>0</v>
      </c>
      <c r="G127" s="2">
        <f t="shared" si="19"/>
        <v>1</v>
      </c>
      <c r="H127" s="2">
        <f t="shared" si="20"/>
        <v>0</v>
      </c>
      <c r="I127" s="2">
        <f t="shared" si="21"/>
        <v>1</v>
      </c>
      <c r="J127" s="2">
        <f t="shared" si="22"/>
        <v>0</v>
      </c>
      <c r="K127" s="2">
        <f t="shared" si="23"/>
        <v>0</v>
      </c>
      <c r="L127" s="2" t="s">
        <v>454</v>
      </c>
      <c r="M127" s="2" t="s">
        <v>452</v>
      </c>
      <c r="N127" s="2" t="s">
        <v>450</v>
      </c>
    </row>
    <row r="128" spans="1:14" x14ac:dyDescent="0.15">
      <c r="A128" s="2">
        <v>139</v>
      </c>
      <c r="B128" s="2">
        <v>10800</v>
      </c>
      <c r="C128" s="2">
        <v>3000</v>
      </c>
      <c r="D128" s="2">
        <v>12800</v>
      </c>
      <c r="E128" s="2">
        <v>6</v>
      </c>
      <c r="F128" s="2">
        <f t="shared" si="18"/>
        <v>0</v>
      </c>
      <c r="G128" s="2">
        <f t="shared" si="19"/>
        <v>1</v>
      </c>
      <c r="H128" s="2">
        <f t="shared" si="20"/>
        <v>1</v>
      </c>
      <c r="I128" s="2">
        <f t="shared" si="21"/>
        <v>0</v>
      </c>
      <c r="J128" s="2">
        <f t="shared" si="22"/>
        <v>0</v>
      </c>
      <c r="K128" s="2">
        <f t="shared" si="23"/>
        <v>0</v>
      </c>
      <c r="L128" s="2" t="s">
        <v>454</v>
      </c>
      <c r="M128" s="2" t="s">
        <v>452</v>
      </c>
      <c r="N128" s="2" t="s">
        <v>453</v>
      </c>
    </row>
    <row r="129" spans="1:14" x14ac:dyDescent="0.15">
      <c r="A129" s="2">
        <v>140</v>
      </c>
      <c r="B129" s="2">
        <v>10500</v>
      </c>
      <c r="C129" s="2">
        <v>2500</v>
      </c>
      <c r="D129" s="2">
        <v>9799</v>
      </c>
      <c r="E129" s="2">
        <v>6</v>
      </c>
      <c r="F129" s="2">
        <f t="shared" si="18"/>
        <v>0</v>
      </c>
      <c r="G129" s="2">
        <f t="shared" si="19"/>
        <v>1</v>
      </c>
      <c r="H129" s="2">
        <f t="shared" si="20"/>
        <v>1</v>
      </c>
      <c r="I129" s="2">
        <f t="shared" si="21"/>
        <v>0</v>
      </c>
      <c r="J129" s="2">
        <f t="shared" si="22"/>
        <v>0</v>
      </c>
      <c r="K129" s="2">
        <f t="shared" si="23"/>
        <v>0</v>
      </c>
      <c r="L129" s="2" t="s">
        <v>454</v>
      </c>
      <c r="M129" s="2" t="s">
        <v>452</v>
      </c>
      <c r="N129" s="2" t="s">
        <v>453</v>
      </c>
    </row>
    <row r="130" spans="1:14" x14ac:dyDescent="0.15">
      <c r="A130" s="2">
        <v>141</v>
      </c>
      <c r="B130" s="2">
        <v>13000</v>
      </c>
      <c r="C130" s="2">
        <v>3500</v>
      </c>
      <c r="D130" s="2">
        <v>9999</v>
      </c>
      <c r="E130" s="2">
        <v>6</v>
      </c>
      <c r="F130" s="2">
        <f t="shared" ref="F130:F143" si="24">IF(L130="male",1,0)</f>
        <v>0</v>
      </c>
      <c r="G130" s="2">
        <f t="shared" ref="G130:G143" si="25">IF(M130="lite",1,0)</f>
        <v>0</v>
      </c>
      <c r="H130" s="2">
        <f t="shared" ref="H130:H143" si="26">IF(N130="premium",1,0)</f>
        <v>0</v>
      </c>
      <c r="I130" s="2">
        <f t="shared" ref="I130:I143" si="27">IF(N130="mainstream",1,0)</f>
        <v>0</v>
      </c>
      <c r="J130" s="2">
        <f t="shared" ref="J130:J143" si="28">IF(N130="gaming",1,0)</f>
        <v>1</v>
      </c>
      <c r="K130" s="2">
        <f t="shared" ref="K130:K143" si="29">IF(N130="value",1,0)</f>
        <v>0</v>
      </c>
      <c r="L130" s="2" t="s">
        <v>454</v>
      </c>
      <c r="M130" s="2" t="s">
        <v>448</v>
      </c>
      <c r="N130" s="2" t="s">
        <v>451</v>
      </c>
    </row>
    <row r="131" spans="1:14" x14ac:dyDescent="0.15">
      <c r="A131" s="2">
        <v>143</v>
      </c>
      <c r="B131" s="2">
        <v>7500</v>
      </c>
      <c r="C131" s="2">
        <v>4200</v>
      </c>
      <c r="D131" s="2">
        <v>3500</v>
      </c>
      <c r="E131" s="2">
        <v>4</v>
      </c>
      <c r="F131" s="2">
        <f t="shared" si="24"/>
        <v>0</v>
      </c>
      <c r="G131" s="2">
        <f t="shared" si="25"/>
        <v>0</v>
      </c>
      <c r="H131" s="2">
        <f t="shared" si="26"/>
        <v>0</v>
      </c>
      <c r="I131" s="2">
        <f t="shared" si="27"/>
        <v>0</v>
      </c>
      <c r="J131" s="2">
        <f t="shared" si="28"/>
        <v>1</v>
      </c>
      <c r="K131" s="2">
        <f t="shared" si="29"/>
        <v>0</v>
      </c>
      <c r="L131" s="2" t="s">
        <v>454</v>
      </c>
      <c r="M131" s="2" t="s">
        <v>448</v>
      </c>
      <c r="N131" s="2" t="s">
        <v>451</v>
      </c>
    </row>
    <row r="132" spans="1:14" x14ac:dyDescent="0.15">
      <c r="A132" s="2">
        <v>144</v>
      </c>
      <c r="B132" s="2">
        <v>4800</v>
      </c>
      <c r="C132" s="2">
        <v>2000</v>
      </c>
      <c r="D132" s="2">
        <v>2900</v>
      </c>
      <c r="E132" s="2">
        <v>1</v>
      </c>
      <c r="F132" s="2">
        <f t="shared" si="24"/>
        <v>0</v>
      </c>
      <c r="G132" s="2">
        <f t="shared" si="25"/>
        <v>1</v>
      </c>
      <c r="H132" s="2">
        <f t="shared" si="26"/>
        <v>0</v>
      </c>
      <c r="I132" s="2">
        <f t="shared" si="27"/>
        <v>1</v>
      </c>
      <c r="J132" s="2">
        <f t="shared" si="28"/>
        <v>0</v>
      </c>
      <c r="K132" s="2">
        <f t="shared" si="29"/>
        <v>0</v>
      </c>
      <c r="L132" s="2" t="s">
        <v>454</v>
      </c>
      <c r="M132" s="2" t="s">
        <v>452</v>
      </c>
      <c r="N132" s="2" t="s">
        <v>450</v>
      </c>
    </row>
    <row r="133" spans="1:14" x14ac:dyDescent="0.15">
      <c r="A133" s="2">
        <v>145</v>
      </c>
      <c r="B133" s="2">
        <v>12000</v>
      </c>
      <c r="C133" s="2">
        <v>2000</v>
      </c>
      <c r="D133" s="2">
        <v>5000</v>
      </c>
      <c r="E133" s="2">
        <v>4</v>
      </c>
      <c r="F133" s="2">
        <f t="shared" si="24"/>
        <v>1</v>
      </c>
      <c r="G133" s="2">
        <f t="shared" si="25"/>
        <v>0</v>
      </c>
      <c r="H133" s="2">
        <f t="shared" si="26"/>
        <v>0</v>
      </c>
      <c r="I133" s="2">
        <f t="shared" si="27"/>
        <v>0</v>
      </c>
      <c r="J133" s="2">
        <f t="shared" si="28"/>
        <v>1</v>
      </c>
      <c r="K133" s="2">
        <f t="shared" si="29"/>
        <v>0</v>
      </c>
      <c r="L133" s="2" t="s">
        <v>427</v>
      </c>
      <c r="M133" s="2" t="s">
        <v>448</v>
      </c>
      <c r="N133" s="2" t="s">
        <v>451</v>
      </c>
    </row>
    <row r="134" spans="1:14" x14ac:dyDescent="0.15">
      <c r="A134" s="2">
        <v>146</v>
      </c>
      <c r="B134" s="2">
        <v>5500</v>
      </c>
      <c r="C134" s="2">
        <v>2200</v>
      </c>
      <c r="D134" s="2">
        <v>3400</v>
      </c>
      <c r="E134" s="2">
        <v>15</v>
      </c>
      <c r="F134" s="2">
        <f t="shared" si="24"/>
        <v>1</v>
      </c>
      <c r="G134" s="2">
        <f t="shared" si="25"/>
        <v>1</v>
      </c>
      <c r="H134" s="2">
        <f t="shared" si="26"/>
        <v>0</v>
      </c>
      <c r="I134" s="2">
        <f t="shared" si="27"/>
        <v>1</v>
      </c>
      <c r="J134" s="2">
        <f t="shared" si="28"/>
        <v>0</v>
      </c>
      <c r="K134" s="2">
        <f t="shared" si="29"/>
        <v>0</v>
      </c>
      <c r="L134" s="2" t="s">
        <v>427</v>
      </c>
      <c r="M134" s="2" t="s">
        <v>452</v>
      </c>
      <c r="N134" s="2" t="s">
        <v>450</v>
      </c>
    </row>
    <row r="135" spans="1:14" x14ac:dyDescent="0.15">
      <c r="A135" s="2">
        <v>147</v>
      </c>
      <c r="B135" s="2">
        <v>2300</v>
      </c>
      <c r="C135" s="2">
        <v>2000</v>
      </c>
      <c r="D135" s="2">
        <v>2200</v>
      </c>
      <c r="E135" s="2">
        <v>6</v>
      </c>
      <c r="F135" s="2">
        <f t="shared" si="24"/>
        <v>0</v>
      </c>
      <c r="G135" s="2">
        <f t="shared" si="25"/>
        <v>0</v>
      </c>
      <c r="H135" s="2">
        <f t="shared" si="26"/>
        <v>0</v>
      </c>
      <c r="I135" s="2">
        <f t="shared" si="27"/>
        <v>0</v>
      </c>
      <c r="J135" s="2">
        <f t="shared" si="28"/>
        <v>0</v>
      </c>
      <c r="K135" s="2">
        <f t="shared" si="29"/>
        <v>1</v>
      </c>
      <c r="L135" s="2" t="s">
        <v>454</v>
      </c>
      <c r="M135" s="2" t="s">
        <v>448</v>
      </c>
      <c r="N135" s="2" t="s">
        <v>449</v>
      </c>
    </row>
    <row r="136" spans="1:14" x14ac:dyDescent="0.15">
      <c r="A136" s="2">
        <v>148</v>
      </c>
      <c r="B136" s="2">
        <v>5679</v>
      </c>
      <c r="C136" s="2">
        <v>2500</v>
      </c>
      <c r="D136" s="2">
        <v>6000</v>
      </c>
      <c r="E136" s="2">
        <v>6</v>
      </c>
      <c r="F136" s="2">
        <f t="shared" si="24"/>
        <v>0</v>
      </c>
      <c r="G136" s="2">
        <f t="shared" si="25"/>
        <v>1</v>
      </c>
      <c r="H136" s="2">
        <f t="shared" si="26"/>
        <v>0</v>
      </c>
      <c r="I136" s="2">
        <f t="shared" si="27"/>
        <v>1</v>
      </c>
      <c r="J136" s="2">
        <f t="shared" si="28"/>
        <v>0</v>
      </c>
      <c r="K136" s="2">
        <f t="shared" si="29"/>
        <v>0</v>
      </c>
      <c r="L136" s="2" t="s">
        <v>454</v>
      </c>
      <c r="M136" s="2" t="s">
        <v>452</v>
      </c>
      <c r="N136" s="2" t="s">
        <v>450</v>
      </c>
    </row>
    <row r="137" spans="1:14" x14ac:dyDescent="0.15">
      <c r="A137" s="2">
        <v>149</v>
      </c>
      <c r="B137" s="2">
        <v>7400</v>
      </c>
      <c r="C137" s="2">
        <v>3000</v>
      </c>
      <c r="D137" s="2">
        <v>9000</v>
      </c>
      <c r="E137" s="2">
        <v>8</v>
      </c>
      <c r="F137" s="2">
        <f t="shared" si="24"/>
        <v>0</v>
      </c>
      <c r="G137" s="2">
        <f t="shared" si="25"/>
        <v>1</v>
      </c>
      <c r="H137" s="2">
        <f t="shared" si="26"/>
        <v>0</v>
      </c>
      <c r="I137" s="2">
        <f t="shared" si="27"/>
        <v>1</v>
      </c>
      <c r="J137" s="2">
        <f t="shared" si="28"/>
        <v>0</v>
      </c>
      <c r="K137" s="2">
        <f t="shared" si="29"/>
        <v>0</v>
      </c>
      <c r="L137" s="2" t="s">
        <v>454</v>
      </c>
      <c r="M137" s="2" t="s">
        <v>452</v>
      </c>
      <c r="N137" s="2" t="s">
        <v>450</v>
      </c>
    </row>
    <row r="138" spans="1:14" x14ac:dyDescent="0.15">
      <c r="A138" s="2">
        <v>150</v>
      </c>
      <c r="B138" s="2">
        <v>4800</v>
      </c>
      <c r="C138" s="2">
        <v>2000</v>
      </c>
      <c r="D138" s="2">
        <v>6800</v>
      </c>
      <c r="E138" s="2">
        <v>42</v>
      </c>
      <c r="F138" s="2">
        <f t="shared" si="24"/>
        <v>1</v>
      </c>
      <c r="G138" s="2">
        <f t="shared" si="25"/>
        <v>1</v>
      </c>
      <c r="H138" s="2">
        <f t="shared" si="26"/>
        <v>1</v>
      </c>
      <c r="I138" s="2">
        <f t="shared" si="27"/>
        <v>0</v>
      </c>
      <c r="J138" s="2">
        <f t="shared" si="28"/>
        <v>0</v>
      </c>
      <c r="K138" s="2">
        <f t="shared" si="29"/>
        <v>0</v>
      </c>
      <c r="L138" s="2" t="s">
        <v>427</v>
      </c>
      <c r="M138" s="2" t="s">
        <v>452</v>
      </c>
      <c r="N138" s="2" t="s">
        <v>453</v>
      </c>
    </row>
    <row r="139" spans="1:14" x14ac:dyDescent="0.15">
      <c r="A139" s="2">
        <v>152</v>
      </c>
      <c r="B139" s="2">
        <v>5899</v>
      </c>
      <c r="C139" s="2">
        <v>2500</v>
      </c>
      <c r="D139" s="2">
        <v>8999</v>
      </c>
      <c r="E139" s="2">
        <v>9</v>
      </c>
      <c r="F139" s="2">
        <f t="shared" si="24"/>
        <v>0</v>
      </c>
      <c r="G139" s="2">
        <f t="shared" si="25"/>
        <v>1</v>
      </c>
      <c r="H139" s="2">
        <f t="shared" si="26"/>
        <v>1</v>
      </c>
      <c r="I139" s="2">
        <f t="shared" si="27"/>
        <v>0</v>
      </c>
      <c r="J139" s="2">
        <f t="shared" si="28"/>
        <v>0</v>
      </c>
      <c r="K139" s="2">
        <f t="shared" si="29"/>
        <v>0</v>
      </c>
      <c r="L139" s="2" t="s">
        <v>454</v>
      </c>
      <c r="M139" s="2" t="s">
        <v>452</v>
      </c>
      <c r="N139" s="2" t="s">
        <v>453</v>
      </c>
    </row>
    <row r="140" spans="1:14" x14ac:dyDescent="0.15">
      <c r="A140" s="2">
        <v>153</v>
      </c>
      <c r="B140" s="2">
        <v>12499</v>
      </c>
      <c r="C140" s="2">
        <v>3000</v>
      </c>
      <c r="D140" s="2">
        <v>13999</v>
      </c>
      <c r="E140" s="2">
        <v>6</v>
      </c>
      <c r="F140" s="2">
        <f t="shared" si="24"/>
        <v>0</v>
      </c>
      <c r="G140" s="2">
        <f t="shared" si="25"/>
        <v>1</v>
      </c>
      <c r="H140" s="2">
        <f t="shared" si="26"/>
        <v>1</v>
      </c>
      <c r="I140" s="2">
        <f t="shared" si="27"/>
        <v>0</v>
      </c>
      <c r="J140" s="2">
        <f t="shared" si="28"/>
        <v>0</v>
      </c>
      <c r="K140" s="2">
        <f t="shared" si="29"/>
        <v>0</v>
      </c>
      <c r="L140" s="2" t="s">
        <v>454</v>
      </c>
      <c r="M140" s="2" t="s">
        <v>452</v>
      </c>
      <c r="N140" s="2" t="s">
        <v>453</v>
      </c>
    </row>
    <row r="141" spans="1:14" x14ac:dyDescent="0.15">
      <c r="A141" s="2">
        <v>154</v>
      </c>
      <c r="B141" s="2">
        <v>5500</v>
      </c>
      <c r="C141" s="2">
        <v>3500</v>
      </c>
      <c r="D141" s="2">
        <v>2500</v>
      </c>
      <c r="E141" s="2">
        <v>8</v>
      </c>
      <c r="F141" s="2">
        <f t="shared" si="24"/>
        <v>0</v>
      </c>
      <c r="G141" s="2">
        <f t="shared" si="25"/>
        <v>1</v>
      </c>
      <c r="H141" s="2">
        <f t="shared" si="26"/>
        <v>1</v>
      </c>
      <c r="I141" s="2">
        <f t="shared" si="27"/>
        <v>0</v>
      </c>
      <c r="J141" s="2">
        <f t="shared" si="28"/>
        <v>0</v>
      </c>
      <c r="K141" s="2">
        <f t="shared" si="29"/>
        <v>0</v>
      </c>
      <c r="L141" s="2" t="s">
        <v>454</v>
      </c>
      <c r="M141" s="2" t="s">
        <v>452</v>
      </c>
      <c r="N141" s="2" t="s">
        <v>453</v>
      </c>
    </row>
    <row r="142" spans="1:14" x14ac:dyDescent="0.15">
      <c r="A142" s="2">
        <v>155</v>
      </c>
      <c r="B142" s="2">
        <v>10000</v>
      </c>
      <c r="C142" s="2">
        <v>1000</v>
      </c>
      <c r="D142" s="2">
        <v>5900</v>
      </c>
      <c r="E142" s="2">
        <v>6</v>
      </c>
      <c r="F142" s="2">
        <f t="shared" si="24"/>
        <v>0</v>
      </c>
      <c r="G142" s="2">
        <f t="shared" si="25"/>
        <v>0</v>
      </c>
      <c r="H142" s="2">
        <f t="shared" si="26"/>
        <v>0</v>
      </c>
      <c r="I142" s="2">
        <f t="shared" si="27"/>
        <v>0</v>
      </c>
      <c r="J142" s="2">
        <f t="shared" si="28"/>
        <v>1</v>
      </c>
      <c r="K142" s="2">
        <f t="shared" si="29"/>
        <v>0</v>
      </c>
      <c r="L142" s="2" t="s">
        <v>454</v>
      </c>
      <c r="M142" s="2" t="s">
        <v>448</v>
      </c>
      <c r="N142" s="2" t="s">
        <v>451</v>
      </c>
    </row>
    <row r="143" spans="1:14" x14ac:dyDescent="0.15">
      <c r="A143" s="2">
        <v>156</v>
      </c>
      <c r="B143" s="2">
        <v>12999</v>
      </c>
      <c r="C143" s="2">
        <v>3000</v>
      </c>
      <c r="D143" s="2">
        <v>10499</v>
      </c>
      <c r="E143" s="2">
        <v>15</v>
      </c>
      <c r="F143" s="2">
        <f t="shared" si="24"/>
        <v>1</v>
      </c>
      <c r="G143" s="2">
        <f t="shared" si="25"/>
        <v>0</v>
      </c>
      <c r="H143" s="2">
        <f t="shared" si="26"/>
        <v>0</v>
      </c>
      <c r="I143" s="2">
        <f t="shared" si="27"/>
        <v>1</v>
      </c>
      <c r="J143" s="2">
        <f t="shared" si="28"/>
        <v>0</v>
      </c>
      <c r="K143" s="2">
        <f t="shared" si="29"/>
        <v>0</v>
      </c>
      <c r="L143" s="2" t="s">
        <v>427</v>
      </c>
      <c r="M143" s="2" t="s">
        <v>448</v>
      </c>
      <c r="N143" s="2" t="s">
        <v>450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8BF8-652B-F248-B14F-86201A121807}">
  <dimension ref="A1:I20"/>
  <sheetViews>
    <sheetView topLeftCell="A2" zoomScale="170" workbookViewId="0">
      <selection activeCell="B18" sqref="B18"/>
    </sheetView>
  </sheetViews>
  <sheetFormatPr baseColWidth="10" defaultRowHeight="13" x14ac:dyDescent="0.15"/>
  <sheetData>
    <row r="1" spans="1:9" x14ac:dyDescent="0.15">
      <c r="A1" t="s">
        <v>467</v>
      </c>
    </row>
    <row r="2" spans="1:9" ht="14" thickBot="1" x14ac:dyDescent="0.2"/>
    <row r="3" spans="1:9" x14ac:dyDescent="0.15">
      <c r="A3" s="7" t="s">
        <v>483</v>
      </c>
      <c r="B3" s="7"/>
    </row>
    <row r="4" spans="1:9" x14ac:dyDescent="0.15">
      <c r="A4" t="s">
        <v>468</v>
      </c>
      <c r="B4">
        <v>0.47956483588588633</v>
      </c>
    </row>
    <row r="5" spans="1:9" x14ac:dyDescent="0.15">
      <c r="A5" t="s">
        <v>469</v>
      </c>
      <c r="B5">
        <v>0.22998243181825709</v>
      </c>
    </row>
    <row r="6" spans="1:9" x14ac:dyDescent="0.15">
      <c r="A6" t="s">
        <v>470</v>
      </c>
      <c r="B6">
        <v>0.21324291946648005</v>
      </c>
    </row>
    <row r="7" spans="1:9" x14ac:dyDescent="0.15">
      <c r="A7" t="s">
        <v>457</v>
      </c>
      <c r="B7">
        <v>2095.2301873647448</v>
      </c>
    </row>
    <row r="8" spans="1:9" ht="14" thickBot="1" x14ac:dyDescent="0.2">
      <c r="A8" s="5" t="s">
        <v>484</v>
      </c>
      <c r="B8" s="5">
        <v>142</v>
      </c>
    </row>
    <row r="10" spans="1:9" ht="14" thickBot="1" x14ac:dyDescent="0.2">
      <c r="A10" t="s">
        <v>471</v>
      </c>
    </row>
    <row r="11" spans="1:9" x14ac:dyDescent="0.15">
      <c r="A11" s="6"/>
      <c r="B11" s="6" t="s">
        <v>473</v>
      </c>
      <c r="C11" s="6" t="s">
        <v>474</v>
      </c>
      <c r="D11" s="6" t="s">
        <v>475</v>
      </c>
      <c r="E11" s="6" t="s">
        <v>476</v>
      </c>
      <c r="F11" s="6" t="s">
        <v>477</v>
      </c>
    </row>
    <row r="12" spans="1:9" x14ac:dyDescent="0.15">
      <c r="A12" t="s">
        <v>485</v>
      </c>
      <c r="B12">
        <v>3</v>
      </c>
      <c r="C12">
        <v>180940838.96816802</v>
      </c>
      <c r="D12">
        <v>60313612.989389338</v>
      </c>
      <c r="E12">
        <v>13.738896748317927</v>
      </c>
      <c r="F12">
        <v>6.8180392807272015E-8</v>
      </c>
    </row>
    <row r="13" spans="1:9" x14ac:dyDescent="0.15">
      <c r="A13" t="s">
        <v>486</v>
      </c>
      <c r="B13">
        <v>138</v>
      </c>
      <c r="C13">
        <v>605818556.25014138</v>
      </c>
      <c r="D13">
        <v>4389989.538044503</v>
      </c>
    </row>
    <row r="14" spans="1:9" ht="14" thickBot="1" x14ac:dyDescent="0.2">
      <c r="A14" s="5" t="s">
        <v>487</v>
      </c>
      <c r="B14" s="5">
        <v>141</v>
      </c>
      <c r="C14" s="5">
        <v>786759395.2183094</v>
      </c>
      <c r="D14" s="5"/>
      <c r="E14" s="5"/>
      <c r="F14" s="5"/>
    </row>
    <row r="15" spans="1:9" ht="14" thickBot="1" x14ac:dyDescent="0.2"/>
    <row r="16" spans="1:9" x14ac:dyDescent="0.15">
      <c r="A16" s="6"/>
      <c r="B16" s="6" t="s">
        <v>478</v>
      </c>
      <c r="C16" s="6" t="s">
        <v>457</v>
      </c>
      <c r="D16" s="6" t="s">
        <v>479</v>
      </c>
      <c r="E16" s="6" t="s">
        <v>480</v>
      </c>
      <c r="F16" s="6" t="s">
        <v>481</v>
      </c>
      <c r="G16" s="6" t="s">
        <v>482</v>
      </c>
      <c r="H16" s="6" t="s">
        <v>488</v>
      </c>
      <c r="I16" s="6" t="s">
        <v>489</v>
      </c>
    </row>
    <row r="17" spans="1:9" x14ac:dyDescent="0.15">
      <c r="A17" t="s">
        <v>472</v>
      </c>
      <c r="B17">
        <v>4689.0490051540455</v>
      </c>
      <c r="C17">
        <v>654.06108782173317</v>
      </c>
      <c r="D17">
        <v>7.1691300590443685</v>
      </c>
      <c r="E17">
        <v>4.1635988895097933E-11</v>
      </c>
      <c r="F17">
        <v>3395.7716995016717</v>
      </c>
      <c r="G17">
        <v>5982.3263108064193</v>
      </c>
      <c r="H17">
        <v>3395.7716995016717</v>
      </c>
      <c r="I17">
        <v>5982.3263108064193</v>
      </c>
    </row>
    <row r="18" spans="1:9" x14ac:dyDescent="0.15">
      <c r="A18" t="s">
        <v>429</v>
      </c>
      <c r="B18">
        <v>0.3993681116350094</v>
      </c>
      <c r="C18">
        <v>0.28926803266470413</v>
      </c>
      <c r="D18">
        <v>1.3806161294633075</v>
      </c>
      <c r="E18">
        <v>0.1696290618330559</v>
      </c>
      <c r="F18">
        <v>-0.17260259394828137</v>
      </c>
      <c r="G18">
        <v>0.97133881721830018</v>
      </c>
      <c r="H18">
        <v>-0.17260259394828137</v>
      </c>
      <c r="I18">
        <v>0.97133881721830018</v>
      </c>
    </row>
    <row r="19" spans="1:9" x14ac:dyDescent="0.15">
      <c r="A19" t="s">
        <v>431</v>
      </c>
      <c r="B19">
        <v>0.29121989519097724</v>
      </c>
      <c r="C19">
        <v>6.8882951852878946E-2</v>
      </c>
      <c r="D19">
        <v>4.2277499345987417</v>
      </c>
      <c r="E19">
        <v>4.2702307398674439E-5</v>
      </c>
      <c r="F19">
        <v>0.15501739050695931</v>
      </c>
      <c r="G19">
        <v>0.4274223998749952</v>
      </c>
      <c r="H19">
        <v>0.15501739050695931</v>
      </c>
      <c r="I19">
        <v>0.4274223998749952</v>
      </c>
    </row>
    <row r="20" spans="1:9" ht="14" thickBot="1" x14ac:dyDescent="0.2">
      <c r="A20" s="5" t="s">
        <v>435</v>
      </c>
      <c r="B20" s="5">
        <v>-52.192611954923919</v>
      </c>
      <c r="C20" s="5">
        <v>17.250023080050383</v>
      </c>
      <c r="D20" s="5">
        <v>-3.0256546158065474</v>
      </c>
      <c r="E20" s="5">
        <v>2.9601832878743952E-3</v>
      </c>
      <c r="F20" s="5">
        <v>-86.301143691166331</v>
      </c>
      <c r="G20" s="5">
        <v>-18.084080218681507</v>
      </c>
      <c r="H20" s="5">
        <v>-86.301143691166331</v>
      </c>
      <c r="I20" s="5">
        <v>-18.084080218681507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data</vt:lpstr>
      <vt:lpstr>pivot</vt:lpstr>
      <vt:lpstr>formula</vt:lpstr>
      <vt:lpstr>157</vt:lpstr>
      <vt:lpstr>outlier</vt:lpstr>
      <vt:lpstr>wjx</vt:lpstr>
      <vt:lpstr>dummy</vt:lpstr>
      <vt:lpstr>regression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lzz</cp:lastModifiedBy>
  <dcterms:created xsi:type="dcterms:W3CDTF">2026-03-24T13:56:08Z</dcterms:created>
  <dcterms:modified xsi:type="dcterms:W3CDTF">2026-03-24T13:56:08Z</dcterms:modified>
  <cp:category/>
</cp:coreProperties>
</file>